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ulianamoraes\Downloads\"/>
    </mc:Choice>
  </mc:AlternateContent>
  <xr:revisionPtr revIDLastSave="0" documentId="13_ncr:1_{93959C80-F21A-4DDC-A10C-BE1F332E2924}" xr6:coauthVersionLast="47" xr6:coauthVersionMax="47" xr10:uidLastSave="{00000000-0000-0000-0000-000000000000}"/>
  <bookViews>
    <workbookView xWindow="-120" yWindow="-120" windowWidth="29040" windowHeight="15720" tabRatio="0" activeTab="3" xr2:uid="{F5690B98-4C6A-412B-BA67-D127E3F0F6FD}"/>
  </bookViews>
  <sheets>
    <sheet name="TITULAR" sheetId="1" r:id="rId1"/>
    <sheet name="INFORMES" sheetId="5" r:id="rId2"/>
    <sheet name="Planilha7" sheetId="7" state="hidden" r:id="rId3"/>
    <sheet name="PATRIMÔNIOS" sheetId="6" r:id="rId4"/>
    <sheet name="MONTANTE LÍQUIDO" sheetId="4" r:id="rId5"/>
    <sheet name="Planilha3" sheetId="10" state="hidden" r:id="rId6"/>
  </sheets>
  <definedNames>
    <definedName name="_xlnm._FilterDatabase" localSheetId="4" hidden="1">'MONTANTE LÍQUIDO'!#REF!</definedName>
    <definedName name="SegmentaçãodeDados_DATA">#N/A</definedName>
    <definedName name="SegmentaçãodeDados_IMPOSTOS">#N/A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4" l="1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10" i="4"/>
  <c r="I8" i="5"/>
  <c r="K25" i="4" l="1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</calcChain>
</file>

<file path=xl/sharedStrings.xml><?xml version="1.0" encoding="utf-8"?>
<sst xmlns="http://schemas.openxmlformats.org/spreadsheetml/2006/main" count="111" uniqueCount="100">
  <si>
    <t>1. DADOS DO TÍTULAR</t>
  </si>
  <si>
    <t>Preencha os dados da sua pessoa física abaixo</t>
  </si>
  <si>
    <t xml:space="preserve">Nome </t>
  </si>
  <si>
    <t>CPF</t>
  </si>
  <si>
    <t xml:space="preserve">NASCIMENTO </t>
  </si>
  <si>
    <t xml:space="preserve">TÍTULO DE ELEITOR </t>
  </si>
  <si>
    <t>CÔNJUGE</t>
  </si>
  <si>
    <t>RUA</t>
  </si>
  <si>
    <t>CEP</t>
  </si>
  <si>
    <t>TELEFONE</t>
  </si>
  <si>
    <t>CELULAR</t>
  </si>
  <si>
    <t>EMAIL</t>
  </si>
  <si>
    <t xml:space="preserve">HOUVE ALTERAÇÕES DA ENTREGA ANTERIOR </t>
  </si>
  <si>
    <t xml:space="preserve">POSSUI DEPENDENTE </t>
  </si>
  <si>
    <t>RESIDENTE DO EXTERIOR</t>
  </si>
  <si>
    <t>2. INFORMES DE RENDIMENTO BANCÁRIOS</t>
  </si>
  <si>
    <t>Preencha com os seus dados atuais de cada banco</t>
  </si>
  <si>
    <t>TOTAL</t>
  </si>
  <si>
    <t>1° Banco</t>
  </si>
  <si>
    <t>BANCO</t>
  </si>
  <si>
    <t>VALOR ATUAL</t>
  </si>
  <si>
    <t xml:space="preserve">ANEXO </t>
  </si>
  <si>
    <t>2° Banco</t>
  </si>
  <si>
    <t>3° Banco</t>
  </si>
  <si>
    <t>bancos</t>
  </si>
  <si>
    <t>1 - Banco do Brasil;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</si>
  <si>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</si>
  <si>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</si>
  <si>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</si>
  <si>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</si>
  <si>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</si>
  <si>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</si>
  <si>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</si>
  <si>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</si>
  <si>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</si>
  <si>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</si>
  <si>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</si>
  <si>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</si>
  <si>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</si>
  <si>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</si>
  <si>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</si>
  <si>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</si>
  <si>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</si>
  <si>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</si>
  <si>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</si>
  <si>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</si>
  <si>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</si>
  <si>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</si>
  <si>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</si>
  <si>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</si>
  <si>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</si>
  <si>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</si>
  <si>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</si>
  <si>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</si>
  <si>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</si>
  <si>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</si>
  <si>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</si>
  <si>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</si>
  <si>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</si>
  <si>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</si>
  <si>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</si>
  <si>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</si>
  <si>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</si>
  <si>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</si>
  <si>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</si>
  <si>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</si>
  <si>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</si>
  <si>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</si>
  <si>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</si>
  <si>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</si>
  <si>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</si>
  <si>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</si>
  <si>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</si>
  <si>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</si>
  <si>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</si>
  <si>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3. NOTAS BANCÁRIAS OU ENTRATO DE HOLERITES</t>
  </si>
  <si>
    <t>São todos os valores de entrada e saída mês a mês.</t>
  </si>
  <si>
    <t>DATA</t>
  </si>
  <si>
    <t>CATEGORIA</t>
  </si>
  <si>
    <t>ENTRADA</t>
  </si>
  <si>
    <t>SAÍDA</t>
  </si>
  <si>
    <t>1.MONTANTE LÍQUIDO DO TÍTULAR E IMPOSTOS A PAGAR</t>
  </si>
  <si>
    <t xml:space="preserve">São todos os valores do montante líquido do títular e impostos a serem pagos </t>
  </si>
  <si>
    <t>SAÍDAS</t>
  </si>
  <si>
    <t>ENTRADAS</t>
  </si>
  <si>
    <t xml:space="preserve">MONTANTE LÍQUIDO </t>
  </si>
  <si>
    <t>IMPOSTOS</t>
  </si>
  <si>
    <t xml:space="preserve">impostos </t>
  </si>
  <si>
    <t>Valor</t>
  </si>
  <si>
    <t>Negativo</t>
  </si>
  <si>
    <t>Isento</t>
  </si>
  <si>
    <t>Aurora Valentina Silveira</t>
  </si>
  <si>
    <t>SIM</t>
  </si>
  <si>
    <t>Rua neve na Bahia</t>
  </si>
  <si>
    <t>aurora.bahianeve@outlot.com.br</t>
  </si>
  <si>
    <t>NÃO</t>
  </si>
  <si>
    <t xml:space="preserve">SIM </t>
  </si>
  <si>
    <t>saúde</t>
  </si>
  <si>
    <t>Freela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</si>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</sst>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0&quot;-&quot;000"/>
    <numFmt numFmtId="166" formatCode="[&lt;=9999999]###\-####;\(###\)\ ###\-####"/>
    <numFmt numFmtId="167" formatCode="&quot;&quot;\(&quot; 00&quot;&quot;)&quot;00000&quot;-&quot;0000"/>
    <numFmt numFmtId="168" formatCode="_-[$R$-416]\ * #,##0.00_-;\-[$R$-416]\ * #,##0.00_-;_-[$R$-416]\ * &quot;-&quot;??_-;_-@_-"/>
    <numFmt numFmtId="169" formatCode="mmmm\,\ yyyy;@"/>
  </numFmts>
  <fonts count="11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8A4D55"/>
      <name val="Arial Black"/>
      <family val="2"/>
    </font>
    <font>
      <i/>
      <sz val="11"/>
      <color rgb="FF9C0006"/>
      <name val="Calibri"/>
      <family val="2"/>
      <scheme val="minor"/>
    </font>
    <font>
      <i/>
      <sz val="9"/>
      <color rgb="FF9C0006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i/>
      <sz val="10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CDCE1"/>
        <bgColor indexed="64"/>
      </patternFill>
    </fill>
    <fill>
      <patternFill patternType="solid">
        <fgColor rgb="FFF0D9EF"/>
        <bgColor indexed="64"/>
      </patternFill>
    </fill>
    <fill>
      <patternFill patternType="solid">
        <fgColor rgb="FFF2F1ED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E0B8BE"/>
      </top>
      <bottom/>
      <diagonal/>
    </border>
    <border>
      <left/>
      <right/>
      <top style="thin">
        <color rgb="FFE0B8BE"/>
      </top>
      <bottom style="thin">
        <color rgb="FFE0B8BE"/>
      </bottom>
      <diagonal/>
    </border>
    <border>
      <left/>
      <right/>
      <top style="thin">
        <color rgb="FF8A4D55"/>
      </top>
      <bottom/>
      <diagonal/>
    </border>
    <border>
      <left/>
      <right/>
      <top style="thin">
        <color rgb="FF8A4D55"/>
      </top>
      <bottom style="thin">
        <color rgb="FF8A4D55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44" fontId="6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1" applyFont="1" applyFill="1" applyAlignment="1">
      <alignment horizontal="left" vertical="center" indent="4"/>
    </xf>
    <xf numFmtId="0" fontId="1" fillId="0" borderId="0" xfId="1" applyFill="1" applyAlignment="1">
      <alignment horizontal="left" vertical="center" indent="4"/>
    </xf>
    <xf numFmtId="0" fontId="5" fillId="0" borderId="0" xfId="0" applyFont="1"/>
    <xf numFmtId="0" fontId="0" fillId="3" borderId="0" xfId="0" applyFill="1"/>
    <xf numFmtId="14" fontId="0" fillId="0" borderId="0" xfId="0" applyNumberFormat="1"/>
    <xf numFmtId="168" fontId="0" fillId="0" borderId="0" xfId="0" applyNumberFormat="1"/>
    <xf numFmtId="169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9" fillId="3" borderId="0" xfId="0" applyFont="1" applyFill="1"/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165" fontId="0" fillId="5" borderId="3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6" fontId="0" fillId="5" borderId="3" xfId="0" applyNumberFormat="1" applyFill="1" applyBorder="1" applyAlignment="1">
      <alignment horizontal="center"/>
    </xf>
    <xf numFmtId="167" fontId="0" fillId="5" borderId="3" xfId="0" applyNumberFormat="1" applyFill="1" applyBorder="1" applyAlignment="1">
      <alignment horizontal="center"/>
    </xf>
    <xf numFmtId="0" fontId="10" fillId="5" borderId="3" xfId="3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4" borderId="0" xfId="1" applyFont="1" applyFill="1" applyAlignment="1">
      <alignment horizontal="left" vertic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44" fontId="0" fillId="5" borderId="3" xfId="2" applyFont="1" applyFill="1" applyBorder="1" applyAlignment="1">
      <alignment horizontal="center"/>
    </xf>
    <xf numFmtId="168" fontId="0" fillId="5" borderId="3" xfId="0" applyNumberFormat="1" applyFill="1" applyBorder="1" applyAlignment="1">
      <alignment horizontal="center"/>
    </xf>
    <xf numFmtId="0" fontId="3" fillId="4" borderId="0" xfId="1" applyFont="1" applyFill="1" applyAlignment="1">
      <alignment horizontal="left" vertical="center" indent="4"/>
    </xf>
    <xf numFmtId="168" fontId="3" fillId="3" borderId="0" xfId="1" applyNumberFormat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7" fillId="4" borderId="0" xfId="1" applyFont="1" applyFill="1" applyAlignment="1">
      <alignment horizontal="center" vertical="center"/>
    </xf>
  </cellXfs>
  <cellStyles count="4">
    <cellStyle name="Hiperlink" xfId="3" builtinId="8"/>
    <cellStyle name="Moeda" xfId="2" builtinId="4"/>
    <cellStyle name="Normal" xfId="0" builtinId="0"/>
    <cellStyle name="Ruim" xfId="1" builtinId="27"/>
  </cellStyles>
  <dxfs count="12">
    <dxf>
      <numFmt numFmtId="13" formatCode="0%"/>
      <alignment horizontal="center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70" formatCode="mm"/>
    </dxf>
    <dxf>
      <font>
        <color theme="1" tint="4.9989318521683403E-2"/>
      </font>
      <fill>
        <patternFill patternType="solid">
          <fgColor indexed="64"/>
          <bgColor rgb="FFFCDCE1"/>
        </patternFill>
      </fill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9" formatCode="dd/mm/yyyy"/>
    </dxf>
    <dxf>
      <fill>
        <patternFill patternType="solid">
          <fgColor indexed="64"/>
          <bgColor rgb="FFFCDCE1"/>
        </patternFill>
      </fill>
    </dxf>
    <dxf>
      <fill>
        <patternFill>
          <bgColor rgb="FFFEC8DB"/>
        </patternFill>
      </fill>
    </dxf>
    <dxf>
      <fill>
        <patternFill>
          <bgColor rgb="FFFEC8DB"/>
        </patternFill>
      </fill>
    </dxf>
  </dxfs>
  <tableStyles count="2" defaultTableStyle="TableStyleMedium2" defaultPivotStyle="PivotStyleLight16">
    <tableStyle name="Estilo de Tabela 1" pivot="0" count="1" xr9:uid="{0F9F24AB-5A49-4759-AC61-03097D69E1EC}">
      <tableStyleElement type="wholeTable" dxfId="11"/>
    </tableStyle>
    <tableStyle name="Estilo de Tabela 2" pivot="0" count="1" xr9:uid="{B9B234F0-5B9F-4752-9737-B39F4C271CC8}">
      <tableStyleElement type="secondColumnStripe" dxfId="10"/>
    </tableStyle>
  </tableStyles>
  <colors>
    <mruColors>
      <color rgb="FFFCDCE1"/>
      <color rgb="FFFEC8DB"/>
      <color rgb="FF8A4D55"/>
      <color rgb="FFF0D9EF"/>
      <color rgb="FFF2F1ED"/>
      <color rgb="FFE0B8BE"/>
      <color rgb="FFFFE6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.jpeg"/><Relationship Id="rId7" Type="http://schemas.openxmlformats.org/officeDocument/2006/relationships/hyperlink" Target="https://www.linkedin.com/in/juli-moraes/" TargetMode="External"/><Relationship Id="rId2" Type="http://schemas.openxmlformats.org/officeDocument/2006/relationships/hyperlink" Target="#TITULAR!L7"/><Relationship Id="rId1" Type="http://schemas.openxmlformats.org/officeDocument/2006/relationships/image" Target="../media/image1.png"/><Relationship Id="rId6" Type="http://schemas.openxmlformats.org/officeDocument/2006/relationships/hyperlink" Target="#'MONTANTE L&#205;QUIDO'!L7"/><Relationship Id="rId5" Type="http://schemas.openxmlformats.org/officeDocument/2006/relationships/hyperlink" Target="#PATRIM&#212;NIOS!L7"/><Relationship Id="rId10" Type="http://schemas.openxmlformats.org/officeDocument/2006/relationships/image" Target="../media/image4.png"/><Relationship Id="rId4" Type="http://schemas.openxmlformats.org/officeDocument/2006/relationships/hyperlink" Target="#INFORMES!L7"/><Relationship Id="rId9" Type="http://schemas.openxmlformats.org/officeDocument/2006/relationships/hyperlink" Target="mailto:inacio.juliana76@gmail.com?subject=Atividade%20da%20DIO:%20criar%20uma%20ferramenta%20com%20informa&#231;&#245;es%20essenciais%20de%20declara&#231;&#227;o%20de%20imposto%20de%20renda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L7"/><Relationship Id="rId7" Type="http://schemas.openxmlformats.org/officeDocument/2006/relationships/hyperlink" Target="https://www.linkedin.com/in/juli-moraes/" TargetMode="External"/><Relationship Id="rId2" Type="http://schemas.openxmlformats.org/officeDocument/2006/relationships/hyperlink" Target="#TITULAR!L7"/><Relationship Id="rId1" Type="http://schemas.openxmlformats.org/officeDocument/2006/relationships/image" Target="../media/image1.png"/><Relationship Id="rId6" Type="http://schemas.openxmlformats.org/officeDocument/2006/relationships/hyperlink" Target="#'MONTANTE L&#205;QUIDO'!L7"/><Relationship Id="rId5" Type="http://schemas.openxmlformats.org/officeDocument/2006/relationships/hyperlink" Target="#PATRIM&#212;NIOS!L7"/><Relationship Id="rId10" Type="http://schemas.openxmlformats.org/officeDocument/2006/relationships/image" Target="../media/image4.png"/><Relationship Id="rId4" Type="http://schemas.openxmlformats.org/officeDocument/2006/relationships/image" Target="../media/image2.jpeg"/><Relationship Id="rId9" Type="http://schemas.openxmlformats.org/officeDocument/2006/relationships/hyperlink" Target="mailto:inacio.juliana76@gmail.com?subject=Atividade%20da%20DIO:%20criar%20uma%20ferramenta%20com%20informa&#231;&#245;es%20essenciais%20de%20declara&#231;&#227;o%20de%20imposto%20de%20renda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L7"/><Relationship Id="rId7" Type="http://schemas.openxmlformats.org/officeDocument/2006/relationships/hyperlink" Target="https://www.linkedin.com/in/juli-moraes/" TargetMode="External"/><Relationship Id="rId2" Type="http://schemas.openxmlformats.org/officeDocument/2006/relationships/hyperlink" Target="#TITULAR!L7"/><Relationship Id="rId1" Type="http://schemas.openxmlformats.org/officeDocument/2006/relationships/image" Target="../media/image1.png"/><Relationship Id="rId6" Type="http://schemas.openxmlformats.org/officeDocument/2006/relationships/hyperlink" Target="#'MONTANTE L&#205;QUIDO'!L7"/><Relationship Id="rId5" Type="http://schemas.openxmlformats.org/officeDocument/2006/relationships/image" Target="../media/image2.jpeg"/><Relationship Id="rId10" Type="http://schemas.openxmlformats.org/officeDocument/2006/relationships/image" Target="../media/image4.png"/><Relationship Id="rId4" Type="http://schemas.openxmlformats.org/officeDocument/2006/relationships/hyperlink" Target="#PATRIM&#212;NIOS!L7"/><Relationship Id="rId9" Type="http://schemas.openxmlformats.org/officeDocument/2006/relationships/hyperlink" Target="mailto:inacio.juliana76@gmail.com?subject=Atividade%20da%20DIO:%20criar%20uma%20ferramenta%20com%20informa&#231;&#245;es%20essenciais%20de%20declara&#231;&#227;o%20de%20imposto%20de%20renda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L7"/><Relationship Id="rId7" Type="http://schemas.openxmlformats.org/officeDocument/2006/relationships/hyperlink" Target="https://www.linkedin.com/in/juli-moraes/" TargetMode="External"/><Relationship Id="rId2" Type="http://schemas.openxmlformats.org/officeDocument/2006/relationships/hyperlink" Target="#TITULAR!L7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#'MONTANTE L&#205;QUIDO'!L7"/><Relationship Id="rId10" Type="http://schemas.openxmlformats.org/officeDocument/2006/relationships/image" Target="../media/image4.png"/><Relationship Id="rId4" Type="http://schemas.openxmlformats.org/officeDocument/2006/relationships/hyperlink" Target="#PATRIM&#212;NIOS!L7"/><Relationship Id="rId9" Type="http://schemas.openxmlformats.org/officeDocument/2006/relationships/hyperlink" Target="mailto:inacio.juliana76@gmail.com?subject=Atividade%20da%20DIO:%20criar%20uma%20ferramenta%20com%20informa&#231;&#245;es%20essenciais%20de%20declara&#231;&#227;o%20de%20imposto%20de%20rend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41415</xdr:colOff>
      <xdr:row>0</xdr:row>
      <xdr:rowOff>0</xdr:rowOff>
    </xdr:from>
    <xdr:to>
      <xdr:col>3</xdr:col>
      <xdr:colOff>434839</xdr:colOff>
      <xdr:row>11</xdr:row>
      <xdr:rowOff>78105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CD33E9-847B-CC7B-0429-5DB6B4A0F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15" y="0"/>
          <a:ext cx="2232163" cy="2221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142875</xdr:colOff>
      <xdr:row>11</xdr:row>
      <xdr:rowOff>47625</xdr:rowOff>
    </xdr:from>
    <xdr:to>
      <xdr:col>3</xdr:col>
      <xdr:colOff>361950</xdr:colOff>
      <xdr:row>14</xdr:row>
      <xdr:rowOff>85725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FADA37-DBAE-D88D-E45C-35B7F306EE98}"/>
            </a:ext>
          </a:extLst>
        </xdr:cNvPr>
        <xdr:cNvSpPr/>
      </xdr:nvSpPr>
      <xdr:spPr>
        <a:xfrm>
          <a:off x="142875" y="2190750"/>
          <a:ext cx="2057814" cy="609600"/>
        </a:xfrm>
        <a:prstGeom prst="roundRect">
          <a:avLst>
            <a:gd name="adj" fmla="val 50000"/>
          </a:avLst>
        </a:prstGeom>
        <a:blipFill>
          <a:blip xmlns:r="http://schemas.openxmlformats.org/officeDocument/2006/relationships" r:embed="rId3"/>
          <a:tile tx="0" ty="0" sx="100000" sy="100000" flip="none" algn="tl"/>
        </a:blipFill>
        <a:ln cap="rnd"/>
        <a:effectLst>
          <a:outerShdw blurRad="50800" dist="127000" dir="6600000" sx="1000" sy="1000" algn="ctr" rotWithShape="0">
            <a:srgbClr val="F0D9EF"/>
          </a:outerShdw>
          <a:reflection stA="99000" endPos="0" dist="50800" dir="5400000" sy="-100000" algn="bl" rotWithShape="0"/>
          <a:softEdge rad="8890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8A4D55"/>
              </a:solidFill>
              <a:latin typeface="Arial Black" panose="020B0A0402010202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142875</xdr:colOff>
      <xdr:row>15</xdr:row>
      <xdr:rowOff>168275</xdr:rowOff>
    </xdr:from>
    <xdr:to>
      <xdr:col>3</xdr:col>
      <xdr:colOff>361950</xdr:colOff>
      <xdr:row>19</xdr:row>
      <xdr:rowOff>15875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091B70-2764-4A02-8525-E45ECFF05037}"/>
            </a:ext>
          </a:extLst>
        </xdr:cNvPr>
        <xdr:cNvSpPr/>
      </xdr:nvSpPr>
      <xdr:spPr>
        <a:xfrm>
          <a:off x="142875" y="3073400"/>
          <a:ext cx="2057814" cy="609600"/>
        </a:xfrm>
        <a:prstGeom prst="roundRect">
          <a:avLst>
            <a:gd name="adj" fmla="val 50000"/>
          </a:avLst>
        </a:prstGeom>
        <a:solidFill>
          <a:srgbClr val="FCDCE1"/>
        </a:solid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INFORMES</a:t>
          </a:r>
          <a:r>
            <a:rPr lang="pt-BR" sz="1100">
              <a:solidFill>
                <a:schemeClr val="lt1"/>
              </a:solidFill>
              <a:latin typeface="Constantia" panose="02030602050306030303" pitchFamily="18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142875</xdr:colOff>
      <xdr:row>20</xdr:row>
      <xdr:rowOff>98425</xdr:rowOff>
    </xdr:from>
    <xdr:to>
      <xdr:col>3</xdr:col>
      <xdr:colOff>361950</xdr:colOff>
      <xdr:row>23</xdr:row>
      <xdr:rowOff>136525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93086C-2D45-4626-806B-67AE1F3C59B3}"/>
            </a:ext>
          </a:extLst>
        </xdr:cNvPr>
        <xdr:cNvSpPr/>
      </xdr:nvSpPr>
      <xdr:spPr>
        <a:xfrm>
          <a:off x="142875" y="3956050"/>
          <a:ext cx="2047875" cy="609600"/>
        </a:xfrm>
        <a:prstGeom prst="roundRect">
          <a:avLst>
            <a:gd name="adj" fmla="val 50000"/>
          </a:avLst>
        </a:prstGeom>
        <a:solidFill>
          <a:srgbClr val="FCDCE1"/>
        </a:solid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PATRIMÔNIOS</a:t>
          </a:r>
          <a:r>
            <a:rPr lang="pt-BR" sz="1100">
              <a:solidFill>
                <a:srgbClr val="8A4D55"/>
              </a:solidFill>
              <a:latin typeface="Arial Black" panose="020B0A04020102020204" pitchFamily="34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142875</xdr:colOff>
      <xdr:row>25</xdr:row>
      <xdr:rowOff>28575</xdr:rowOff>
    </xdr:from>
    <xdr:to>
      <xdr:col>3</xdr:col>
      <xdr:colOff>361950</xdr:colOff>
      <xdr:row>28</xdr:row>
      <xdr:rowOff>66675</xdr:rowOff>
    </xdr:to>
    <xdr:sp macro="" textlink="">
      <xdr:nvSpPr>
        <xdr:cNvPr id="6" name="Retângulo: Cantos Arredondado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4FD996-D3D9-40B8-ADC9-CE9814A5AB21}"/>
            </a:ext>
          </a:extLst>
        </xdr:cNvPr>
        <xdr:cNvSpPr/>
      </xdr:nvSpPr>
      <xdr:spPr>
        <a:xfrm>
          <a:off x="142875" y="4838700"/>
          <a:ext cx="2047875" cy="609600"/>
        </a:xfrm>
        <a:prstGeom prst="roundRect">
          <a:avLst>
            <a:gd name="adj" fmla="val 50000"/>
          </a:avLst>
        </a:prstGeom>
        <a:solidFill>
          <a:srgbClr val="FCDCE1">
            <a:alpha val="99000"/>
          </a:srgbClr>
        </a:solidFill>
        <a:effectLst>
          <a:glow>
            <a:schemeClr val="accent1">
              <a:alpha val="40000"/>
            </a:schemeClr>
          </a:glow>
          <a:outerShdw blurRad="50800" dist="50800" dir="5400000" sx="86000" sy="86000" algn="ctr" rotWithShape="0">
            <a:srgbClr val="000000"/>
          </a:outerShdw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MONTANTE</a:t>
          </a:r>
          <a:r>
            <a:rPr lang="pt-BR" sz="1100">
              <a:solidFill>
                <a:schemeClr val="lt1"/>
              </a:solidFill>
              <a:latin typeface="Constantia" panose="02030602050306030303" pitchFamily="18" charset="0"/>
              <a:ea typeface="+mn-ea"/>
              <a:cs typeface="+mn-cs"/>
            </a:rPr>
            <a:t> </a:t>
          </a:r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LÍQUIDO</a:t>
          </a:r>
          <a:r>
            <a:rPr lang="pt-BR" sz="1100">
              <a:solidFill>
                <a:schemeClr val="lt1"/>
              </a:solidFill>
              <a:latin typeface="Constantia" panose="02030602050306030303" pitchFamily="18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476250</xdr:colOff>
      <xdr:row>30</xdr:row>
      <xdr:rowOff>152401</xdr:rowOff>
    </xdr:from>
    <xdr:to>
      <xdr:col>1</xdr:col>
      <xdr:colOff>276225</xdr:colOff>
      <xdr:row>32</xdr:row>
      <xdr:rowOff>180976</xdr:rowOff>
    </xdr:to>
    <xdr:pic>
      <xdr:nvPicPr>
        <xdr:cNvPr id="7" name="Imagem 6" descr="Light Pink LinkedIn App Ico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49713D8-4D84-54B0-5494-603CAC3A3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915026"/>
          <a:ext cx="410889" cy="409575"/>
        </a:xfrm>
        <a:prstGeom prst="rect">
          <a:avLst/>
        </a:prstGeom>
        <a:noFill/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170793</xdr:colOff>
      <xdr:row>30</xdr:row>
      <xdr:rowOff>152401</xdr:rowOff>
    </xdr:from>
    <xdr:to>
      <xdr:col>2</xdr:col>
      <xdr:colOff>582077</xdr:colOff>
      <xdr:row>32</xdr:row>
      <xdr:rowOff>181801</xdr:rowOff>
    </xdr:to>
    <xdr:pic>
      <xdr:nvPicPr>
        <xdr:cNvPr id="9" name="Imagem 8" descr="gmail icon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0E8CFC6-A9D8-4FD0-D9E2-65005DA8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621" y="5915026"/>
          <a:ext cx="411284" cy="410400"/>
        </a:xfrm>
        <a:prstGeom prst="rect">
          <a:avLst/>
        </a:prstGeom>
        <a:noFill/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589359</xdr:colOff>
      <xdr:row>4</xdr:row>
      <xdr:rowOff>7247</xdr:rowOff>
    </xdr:from>
    <xdr:to>
      <xdr:col>18</xdr:col>
      <xdr:colOff>7327</xdr:colOff>
      <xdr:row>4</xdr:row>
      <xdr:rowOff>7247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506FA8B6-9D40-481B-DEB8-C7E9CD4A0632}"/>
            </a:ext>
          </a:extLst>
        </xdr:cNvPr>
        <xdr:cNvCxnSpPr/>
      </xdr:nvCxnSpPr>
      <xdr:spPr>
        <a:xfrm>
          <a:off x="3630032" y="820535"/>
          <a:ext cx="7323718" cy="0"/>
        </a:xfrm>
        <a:prstGeom prst="line">
          <a:avLst/>
        </a:prstGeom>
        <a:ln w="19050">
          <a:solidFill>
            <a:srgbClr val="8A4D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41415</xdr:colOff>
      <xdr:row>0</xdr:row>
      <xdr:rowOff>0</xdr:rowOff>
    </xdr:from>
    <xdr:to>
      <xdr:col>3</xdr:col>
      <xdr:colOff>434839</xdr:colOff>
      <xdr:row>11</xdr:row>
      <xdr:rowOff>76034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5C6624-7CE0-4D85-8ED9-03D1BBF57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15" y="0"/>
          <a:ext cx="2222224" cy="2221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142875</xdr:colOff>
      <xdr:row>11</xdr:row>
      <xdr:rowOff>45554</xdr:rowOff>
    </xdr:from>
    <xdr:to>
      <xdr:col>3</xdr:col>
      <xdr:colOff>361950</xdr:colOff>
      <xdr:row>14</xdr:row>
      <xdr:rowOff>83654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B0D6D2-553A-4AD4-B7F4-981E62816CBC}"/>
            </a:ext>
          </a:extLst>
        </xdr:cNvPr>
        <xdr:cNvSpPr/>
      </xdr:nvSpPr>
      <xdr:spPr>
        <a:xfrm>
          <a:off x="142875" y="2190750"/>
          <a:ext cx="2047875" cy="609600"/>
        </a:xfrm>
        <a:prstGeom prst="roundRect">
          <a:avLst>
            <a:gd name="adj" fmla="val 50000"/>
          </a:avLst>
        </a:prstGeom>
        <a:solidFill>
          <a:srgbClr val="FCDCE1"/>
        </a:solid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142875</xdr:colOff>
      <xdr:row>15</xdr:row>
      <xdr:rowOff>166204</xdr:rowOff>
    </xdr:from>
    <xdr:to>
      <xdr:col>3</xdr:col>
      <xdr:colOff>361950</xdr:colOff>
      <xdr:row>19</xdr:row>
      <xdr:rowOff>13804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E2AC6D-0C1A-4F83-8383-C7522B19789E}"/>
            </a:ext>
          </a:extLst>
        </xdr:cNvPr>
        <xdr:cNvSpPr/>
      </xdr:nvSpPr>
      <xdr:spPr>
        <a:xfrm>
          <a:off x="142875" y="3073400"/>
          <a:ext cx="2047875" cy="609600"/>
        </a:xfrm>
        <a:prstGeom prst="roundRect">
          <a:avLst>
            <a:gd name="adj" fmla="val 50000"/>
          </a:avLst>
        </a:prstGeom>
        <a:blipFill>
          <a:blip xmlns:r="http://schemas.openxmlformats.org/officeDocument/2006/relationships" r:embed="rId4"/>
          <a:tile tx="0" ty="0" sx="100000" sy="100000" flip="none" algn="tl"/>
        </a:blip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Arial Black" panose="020B0A04020102020204" pitchFamily="34" charset="0"/>
              <a:ea typeface="+mn-ea"/>
              <a:cs typeface="+mn-cs"/>
            </a:rPr>
            <a:t>INFORMES</a:t>
          </a:r>
          <a:r>
            <a:rPr lang="pt-BR" sz="1100">
              <a:solidFill>
                <a:schemeClr val="lt1"/>
              </a:solidFill>
              <a:latin typeface="Constantia" panose="02030602050306030303" pitchFamily="18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142875</xdr:colOff>
      <xdr:row>20</xdr:row>
      <xdr:rowOff>96354</xdr:rowOff>
    </xdr:from>
    <xdr:to>
      <xdr:col>3</xdr:col>
      <xdr:colOff>361950</xdr:colOff>
      <xdr:row>23</xdr:row>
      <xdr:rowOff>134454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851C79-A7A5-4ED8-BF71-041EF90BAA40}"/>
            </a:ext>
          </a:extLst>
        </xdr:cNvPr>
        <xdr:cNvSpPr/>
      </xdr:nvSpPr>
      <xdr:spPr>
        <a:xfrm>
          <a:off x="142875" y="3956050"/>
          <a:ext cx="2047875" cy="609600"/>
        </a:xfrm>
        <a:prstGeom prst="roundRect">
          <a:avLst>
            <a:gd name="adj" fmla="val 50000"/>
          </a:avLst>
        </a:prstGeom>
        <a:solidFill>
          <a:srgbClr val="FCDCE1"/>
        </a:solid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PATRIMÔNIOS</a:t>
          </a:r>
          <a:r>
            <a:rPr lang="pt-BR" sz="1100">
              <a:solidFill>
                <a:srgbClr val="8A4D55"/>
              </a:solidFill>
              <a:latin typeface="Arial Black" panose="020B0A04020102020204" pitchFamily="34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142875</xdr:colOff>
      <xdr:row>25</xdr:row>
      <xdr:rowOff>26504</xdr:rowOff>
    </xdr:from>
    <xdr:to>
      <xdr:col>3</xdr:col>
      <xdr:colOff>361950</xdr:colOff>
      <xdr:row>28</xdr:row>
      <xdr:rowOff>64604</xdr:rowOff>
    </xdr:to>
    <xdr:sp macro="" textlink="">
      <xdr:nvSpPr>
        <xdr:cNvPr id="6" name="Retângulo: Cantos Arredondado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94769B-4552-464F-956B-9904AB0B48AF}"/>
            </a:ext>
          </a:extLst>
        </xdr:cNvPr>
        <xdr:cNvSpPr/>
      </xdr:nvSpPr>
      <xdr:spPr>
        <a:xfrm>
          <a:off x="142875" y="4838700"/>
          <a:ext cx="2047875" cy="609600"/>
        </a:xfrm>
        <a:prstGeom prst="roundRect">
          <a:avLst>
            <a:gd name="adj" fmla="val 50000"/>
          </a:avLst>
        </a:prstGeom>
        <a:solidFill>
          <a:srgbClr val="FCDCE1">
            <a:alpha val="99000"/>
          </a:srgbClr>
        </a:solidFill>
        <a:effectLst>
          <a:glow>
            <a:schemeClr val="accent1">
              <a:alpha val="40000"/>
            </a:schemeClr>
          </a:glow>
          <a:outerShdw blurRad="50800" dist="50800" dir="5400000" sx="86000" sy="86000" algn="ctr" rotWithShape="0">
            <a:srgbClr val="000000"/>
          </a:outerShdw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MONTANTE</a:t>
          </a:r>
          <a:r>
            <a:rPr lang="pt-BR" sz="1100">
              <a:solidFill>
                <a:schemeClr val="lt1"/>
              </a:solidFill>
              <a:latin typeface="Constantia" panose="02030602050306030303" pitchFamily="18" charset="0"/>
              <a:ea typeface="+mn-ea"/>
              <a:cs typeface="+mn-cs"/>
            </a:rPr>
            <a:t> </a:t>
          </a:r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LÍQUIDO</a:t>
          </a:r>
          <a:r>
            <a:rPr lang="pt-BR" sz="1100">
              <a:solidFill>
                <a:schemeClr val="lt1"/>
              </a:solidFill>
              <a:latin typeface="Constantia" panose="02030602050306030303" pitchFamily="18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476250</xdr:colOff>
      <xdr:row>30</xdr:row>
      <xdr:rowOff>150330</xdr:rowOff>
    </xdr:from>
    <xdr:to>
      <xdr:col>1</xdr:col>
      <xdr:colOff>276225</xdr:colOff>
      <xdr:row>32</xdr:row>
      <xdr:rowOff>178905</xdr:rowOff>
    </xdr:to>
    <xdr:pic>
      <xdr:nvPicPr>
        <xdr:cNvPr id="7" name="Imagem 6" descr="Light Pink LinkedIn App Ico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F135F8E-B50D-4332-AF74-13A71AC85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915026"/>
          <a:ext cx="409575" cy="409575"/>
        </a:xfrm>
        <a:prstGeom prst="rect">
          <a:avLst/>
        </a:prstGeom>
        <a:noFill/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170793</xdr:colOff>
      <xdr:row>30</xdr:row>
      <xdr:rowOff>150330</xdr:rowOff>
    </xdr:from>
    <xdr:to>
      <xdr:col>2</xdr:col>
      <xdr:colOff>582077</xdr:colOff>
      <xdr:row>32</xdr:row>
      <xdr:rowOff>179730</xdr:rowOff>
    </xdr:to>
    <xdr:pic>
      <xdr:nvPicPr>
        <xdr:cNvPr id="8" name="Imagem 7" descr="gmail icon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69C1D13-ACA3-4662-8CAA-6E2252972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993" y="5915026"/>
          <a:ext cx="411284" cy="410400"/>
        </a:xfrm>
        <a:prstGeom prst="rect">
          <a:avLst/>
        </a:prstGeom>
        <a:noFill/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589359</xdr:colOff>
      <xdr:row>4</xdr:row>
      <xdr:rowOff>7247</xdr:rowOff>
    </xdr:from>
    <xdr:to>
      <xdr:col>18</xdr:col>
      <xdr:colOff>7327</xdr:colOff>
      <xdr:row>4</xdr:row>
      <xdr:rowOff>7247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8612D7F1-055D-4971-A011-DF336B9C4339}"/>
            </a:ext>
          </a:extLst>
        </xdr:cNvPr>
        <xdr:cNvCxnSpPr/>
      </xdr:nvCxnSpPr>
      <xdr:spPr>
        <a:xfrm>
          <a:off x="3637359" y="816872"/>
          <a:ext cx="7342768" cy="0"/>
        </a:xfrm>
        <a:prstGeom prst="line">
          <a:avLst/>
        </a:prstGeom>
        <a:ln w="19050">
          <a:solidFill>
            <a:srgbClr val="8A4D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41415</xdr:colOff>
      <xdr:row>0</xdr:row>
      <xdr:rowOff>0</xdr:rowOff>
    </xdr:from>
    <xdr:to>
      <xdr:col>3</xdr:col>
      <xdr:colOff>434839</xdr:colOff>
      <xdr:row>11</xdr:row>
      <xdr:rowOff>76034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333022-CE62-4A00-AFE3-4AB22A534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15" y="0"/>
          <a:ext cx="2222224" cy="2221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142875</xdr:colOff>
      <xdr:row>11</xdr:row>
      <xdr:rowOff>45554</xdr:rowOff>
    </xdr:from>
    <xdr:to>
      <xdr:col>3</xdr:col>
      <xdr:colOff>361950</xdr:colOff>
      <xdr:row>14</xdr:row>
      <xdr:rowOff>83654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368A17-697F-4C18-B4B7-D7AA38FF6CC9}"/>
            </a:ext>
          </a:extLst>
        </xdr:cNvPr>
        <xdr:cNvSpPr/>
      </xdr:nvSpPr>
      <xdr:spPr>
        <a:xfrm>
          <a:off x="142875" y="2190750"/>
          <a:ext cx="2047875" cy="609600"/>
        </a:xfrm>
        <a:prstGeom prst="roundRect">
          <a:avLst>
            <a:gd name="adj" fmla="val 50000"/>
          </a:avLst>
        </a:prstGeom>
        <a:solidFill>
          <a:srgbClr val="FCDCE1"/>
        </a:solid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142875</xdr:colOff>
      <xdr:row>15</xdr:row>
      <xdr:rowOff>166204</xdr:rowOff>
    </xdr:from>
    <xdr:to>
      <xdr:col>3</xdr:col>
      <xdr:colOff>361950</xdr:colOff>
      <xdr:row>19</xdr:row>
      <xdr:rowOff>13804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72B0C2-28EA-4872-9207-748F68CEB7ED}"/>
            </a:ext>
          </a:extLst>
        </xdr:cNvPr>
        <xdr:cNvSpPr/>
      </xdr:nvSpPr>
      <xdr:spPr>
        <a:xfrm>
          <a:off x="142875" y="3073400"/>
          <a:ext cx="2047875" cy="609600"/>
        </a:xfrm>
        <a:prstGeom prst="roundRect">
          <a:avLst>
            <a:gd name="adj" fmla="val 50000"/>
          </a:avLst>
        </a:prstGeom>
        <a:solidFill>
          <a:srgbClr val="FCDCE1"/>
        </a:solid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INFORMES</a:t>
          </a:r>
          <a:r>
            <a:rPr lang="pt-BR" sz="1100">
              <a:solidFill>
                <a:schemeClr val="lt1"/>
              </a:solidFill>
              <a:latin typeface="Constantia" panose="02030602050306030303" pitchFamily="18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142875</xdr:colOff>
      <xdr:row>20</xdr:row>
      <xdr:rowOff>96354</xdr:rowOff>
    </xdr:from>
    <xdr:to>
      <xdr:col>3</xdr:col>
      <xdr:colOff>361950</xdr:colOff>
      <xdr:row>23</xdr:row>
      <xdr:rowOff>134454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22676-299D-4681-85D1-D5EAB55E9E32}"/>
            </a:ext>
          </a:extLst>
        </xdr:cNvPr>
        <xdr:cNvSpPr/>
      </xdr:nvSpPr>
      <xdr:spPr>
        <a:xfrm>
          <a:off x="142875" y="3956050"/>
          <a:ext cx="2047875" cy="609600"/>
        </a:xfrm>
        <a:prstGeom prst="roundRect">
          <a:avLst>
            <a:gd name="adj" fmla="val 50000"/>
          </a:avLst>
        </a:prstGeom>
        <a:blipFill>
          <a:blip xmlns:r="http://schemas.openxmlformats.org/officeDocument/2006/relationships" r:embed="rId5"/>
          <a:tile tx="0" ty="0" sx="100000" sy="100000" flip="none" algn="tl"/>
        </a:blip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Arial Black" panose="020B0A04020102020204" pitchFamily="34" charset="0"/>
              <a:ea typeface="+mn-ea"/>
              <a:cs typeface="+mn-cs"/>
            </a:rPr>
            <a:t>PATRIMÔNIOS </a:t>
          </a:r>
        </a:p>
      </xdr:txBody>
    </xdr:sp>
    <xdr:clientData/>
  </xdr:twoCellAnchor>
  <xdr:twoCellAnchor editAs="absolute">
    <xdr:from>
      <xdr:col>0</xdr:col>
      <xdr:colOff>142875</xdr:colOff>
      <xdr:row>25</xdr:row>
      <xdr:rowOff>26504</xdr:rowOff>
    </xdr:from>
    <xdr:to>
      <xdr:col>3</xdr:col>
      <xdr:colOff>361950</xdr:colOff>
      <xdr:row>28</xdr:row>
      <xdr:rowOff>64604</xdr:rowOff>
    </xdr:to>
    <xdr:sp macro="" textlink="">
      <xdr:nvSpPr>
        <xdr:cNvPr id="6" name="Retângulo: Cantos Arredondado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3232AC7-9BDC-4CE5-9102-34010068A1ED}"/>
            </a:ext>
          </a:extLst>
        </xdr:cNvPr>
        <xdr:cNvSpPr/>
      </xdr:nvSpPr>
      <xdr:spPr>
        <a:xfrm>
          <a:off x="142875" y="4838700"/>
          <a:ext cx="2047875" cy="609600"/>
        </a:xfrm>
        <a:prstGeom prst="roundRect">
          <a:avLst>
            <a:gd name="adj" fmla="val 50000"/>
          </a:avLst>
        </a:prstGeom>
        <a:solidFill>
          <a:srgbClr val="FCDCE1">
            <a:alpha val="99000"/>
          </a:srgbClr>
        </a:solidFill>
        <a:effectLst>
          <a:glow>
            <a:schemeClr val="accent1">
              <a:alpha val="40000"/>
            </a:schemeClr>
          </a:glow>
          <a:outerShdw blurRad="50800" dist="50800" dir="5400000" sx="86000" sy="86000" algn="ctr" rotWithShape="0">
            <a:srgbClr val="000000"/>
          </a:outerShdw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MONTANTE</a:t>
          </a:r>
          <a:r>
            <a:rPr lang="pt-BR" sz="1100">
              <a:solidFill>
                <a:schemeClr val="lt1"/>
              </a:solidFill>
              <a:latin typeface="Constantia" panose="02030602050306030303" pitchFamily="18" charset="0"/>
              <a:ea typeface="+mn-ea"/>
              <a:cs typeface="+mn-cs"/>
            </a:rPr>
            <a:t> </a:t>
          </a:r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LÍQUIDO</a:t>
          </a:r>
          <a:r>
            <a:rPr lang="pt-BR" sz="1100">
              <a:solidFill>
                <a:schemeClr val="lt1"/>
              </a:solidFill>
              <a:latin typeface="Constantia" panose="02030602050306030303" pitchFamily="18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476250</xdr:colOff>
      <xdr:row>30</xdr:row>
      <xdr:rowOff>150330</xdr:rowOff>
    </xdr:from>
    <xdr:to>
      <xdr:col>1</xdr:col>
      <xdr:colOff>276225</xdr:colOff>
      <xdr:row>32</xdr:row>
      <xdr:rowOff>178905</xdr:rowOff>
    </xdr:to>
    <xdr:pic>
      <xdr:nvPicPr>
        <xdr:cNvPr id="7" name="Imagem 6" descr="Light Pink LinkedIn App Ico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2B14C6-ADBF-4682-B25E-ACAA5F141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915026"/>
          <a:ext cx="409575" cy="409575"/>
        </a:xfrm>
        <a:prstGeom prst="rect">
          <a:avLst/>
        </a:prstGeom>
        <a:noFill/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170793</xdr:colOff>
      <xdr:row>30</xdr:row>
      <xdr:rowOff>150330</xdr:rowOff>
    </xdr:from>
    <xdr:to>
      <xdr:col>2</xdr:col>
      <xdr:colOff>582077</xdr:colOff>
      <xdr:row>32</xdr:row>
      <xdr:rowOff>179730</xdr:rowOff>
    </xdr:to>
    <xdr:pic>
      <xdr:nvPicPr>
        <xdr:cNvPr id="8" name="Imagem 7" descr="gmail icon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9255FDB-CB9E-42A5-9367-B97A9B48B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993" y="5915026"/>
          <a:ext cx="411284" cy="410400"/>
        </a:xfrm>
        <a:prstGeom prst="rect">
          <a:avLst/>
        </a:prstGeom>
        <a:noFill/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589359</xdr:colOff>
      <xdr:row>4</xdr:row>
      <xdr:rowOff>7247</xdr:rowOff>
    </xdr:from>
    <xdr:to>
      <xdr:col>13</xdr:col>
      <xdr:colOff>7327</xdr:colOff>
      <xdr:row>4</xdr:row>
      <xdr:rowOff>7247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12B4FA65-85FD-45F1-AD11-E02E2A102A87}"/>
            </a:ext>
          </a:extLst>
        </xdr:cNvPr>
        <xdr:cNvCxnSpPr/>
      </xdr:nvCxnSpPr>
      <xdr:spPr>
        <a:xfrm>
          <a:off x="3637359" y="816872"/>
          <a:ext cx="7342768" cy="0"/>
        </a:xfrm>
        <a:prstGeom prst="line">
          <a:avLst/>
        </a:prstGeom>
        <a:ln w="19050">
          <a:solidFill>
            <a:srgbClr val="8A4D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41415</xdr:colOff>
      <xdr:row>0</xdr:row>
      <xdr:rowOff>0</xdr:rowOff>
    </xdr:from>
    <xdr:to>
      <xdr:col>3</xdr:col>
      <xdr:colOff>434839</xdr:colOff>
      <xdr:row>11</xdr:row>
      <xdr:rowOff>76034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47727F-17CE-4F1E-B1FE-AD1872350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15" y="0"/>
          <a:ext cx="2222224" cy="2221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142875</xdr:colOff>
      <xdr:row>11</xdr:row>
      <xdr:rowOff>45554</xdr:rowOff>
    </xdr:from>
    <xdr:to>
      <xdr:col>3</xdr:col>
      <xdr:colOff>361950</xdr:colOff>
      <xdr:row>14</xdr:row>
      <xdr:rowOff>83654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AA62E3-1BF3-489B-BCB6-A387BD1023F9}"/>
            </a:ext>
          </a:extLst>
        </xdr:cNvPr>
        <xdr:cNvSpPr/>
      </xdr:nvSpPr>
      <xdr:spPr>
        <a:xfrm>
          <a:off x="142875" y="2190750"/>
          <a:ext cx="2047875" cy="609600"/>
        </a:xfrm>
        <a:prstGeom prst="roundRect">
          <a:avLst>
            <a:gd name="adj" fmla="val 50000"/>
          </a:avLst>
        </a:prstGeom>
        <a:solidFill>
          <a:srgbClr val="FCDCE1"/>
        </a:solid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TÍTULAR</a:t>
          </a:r>
        </a:p>
      </xdr:txBody>
    </xdr:sp>
    <xdr:clientData/>
  </xdr:twoCellAnchor>
  <xdr:twoCellAnchor editAs="absolute">
    <xdr:from>
      <xdr:col>0</xdr:col>
      <xdr:colOff>142875</xdr:colOff>
      <xdr:row>15</xdr:row>
      <xdr:rowOff>166204</xdr:rowOff>
    </xdr:from>
    <xdr:to>
      <xdr:col>3</xdr:col>
      <xdr:colOff>361950</xdr:colOff>
      <xdr:row>19</xdr:row>
      <xdr:rowOff>13804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9C8073-D414-49D1-ABE8-3FE1473AE70D}"/>
            </a:ext>
          </a:extLst>
        </xdr:cNvPr>
        <xdr:cNvSpPr/>
      </xdr:nvSpPr>
      <xdr:spPr>
        <a:xfrm>
          <a:off x="142875" y="3073400"/>
          <a:ext cx="2047875" cy="609600"/>
        </a:xfrm>
        <a:prstGeom prst="roundRect">
          <a:avLst>
            <a:gd name="adj" fmla="val 50000"/>
          </a:avLst>
        </a:prstGeom>
        <a:solidFill>
          <a:srgbClr val="FCDCE1"/>
        </a:solid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INFORMES</a:t>
          </a:r>
          <a:r>
            <a:rPr lang="pt-BR" sz="1100">
              <a:solidFill>
                <a:schemeClr val="lt1"/>
              </a:solidFill>
              <a:latin typeface="Constantia" panose="02030602050306030303" pitchFamily="18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142875</xdr:colOff>
      <xdr:row>20</xdr:row>
      <xdr:rowOff>96354</xdr:rowOff>
    </xdr:from>
    <xdr:to>
      <xdr:col>3</xdr:col>
      <xdr:colOff>361950</xdr:colOff>
      <xdr:row>23</xdr:row>
      <xdr:rowOff>134454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172F5C-08A0-4191-9F82-4532B63615E9}"/>
            </a:ext>
          </a:extLst>
        </xdr:cNvPr>
        <xdr:cNvSpPr/>
      </xdr:nvSpPr>
      <xdr:spPr>
        <a:xfrm>
          <a:off x="142875" y="3956050"/>
          <a:ext cx="2047875" cy="609600"/>
        </a:xfrm>
        <a:prstGeom prst="roundRect">
          <a:avLst>
            <a:gd name="adj" fmla="val 50000"/>
          </a:avLst>
        </a:prstGeom>
        <a:solidFill>
          <a:srgbClr val="FCDCE1"/>
        </a:solidFill>
        <a:effectLst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Constantia" panose="02030602050306030303" pitchFamily="18" charset="0"/>
              <a:ea typeface="+mn-ea"/>
              <a:cs typeface="+mn-cs"/>
            </a:rPr>
            <a:t>PATRIMÔNIOS</a:t>
          </a:r>
          <a:r>
            <a:rPr lang="pt-BR" sz="1100">
              <a:solidFill>
                <a:srgbClr val="8A4D55"/>
              </a:solidFill>
              <a:latin typeface="Arial Black" panose="020B0A04020102020204" pitchFamily="34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142875</xdr:colOff>
      <xdr:row>25</xdr:row>
      <xdr:rowOff>26504</xdr:rowOff>
    </xdr:from>
    <xdr:to>
      <xdr:col>3</xdr:col>
      <xdr:colOff>361950</xdr:colOff>
      <xdr:row>28</xdr:row>
      <xdr:rowOff>64604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A328F9-94B8-4976-A918-47DD4C14976A}"/>
            </a:ext>
          </a:extLst>
        </xdr:cNvPr>
        <xdr:cNvSpPr/>
      </xdr:nvSpPr>
      <xdr:spPr>
        <a:xfrm>
          <a:off x="142875" y="4838700"/>
          <a:ext cx="2047875" cy="609600"/>
        </a:xfrm>
        <a:prstGeom prst="roundRect">
          <a:avLst>
            <a:gd name="adj" fmla="val 50000"/>
          </a:avLst>
        </a:prstGeom>
        <a:blipFill>
          <a:blip xmlns:r="http://schemas.openxmlformats.org/officeDocument/2006/relationships" r:embed="rId6"/>
          <a:tile tx="0" ty="0" sx="100000" sy="100000" flip="none" algn="tl"/>
        </a:blipFill>
        <a:effectLst>
          <a:glow>
            <a:schemeClr val="accent1">
              <a:alpha val="40000"/>
            </a:schemeClr>
          </a:glow>
          <a:outerShdw blurRad="50800" dist="50800" dir="5400000" sx="86000" sy="86000" algn="ctr" rotWithShape="0">
            <a:srgbClr val="000000"/>
          </a:outerShdw>
          <a:softEdge rad="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rgbClr val="8A4D55"/>
              </a:solidFill>
              <a:latin typeface="Arial Black" panose="020B0A04020102020204" pitchFamily="34" charset="0"/>
              <a:ea typeface="+mn-ea"/>
              <a:cs typeface="+mn-cs"/>
            </a:rPr>
            <a:t>MONTANTE</a:t>
          </a:r>
          <a:r>
            <a:rPr lang="pt-BR" sz="1100">
              <a:solidFill>
                <a:schemeClr val="lt1"/>
              </a:solidFill>
              <a:latin typeface="Arial Black" panose="020B0A04020102020204" pitchFamily="34" charset="0"/>
              <a:ea typeface="+mn-ea"/>
              <a:cs typeface="+mn-cs"/>
            </a:rPr>
            <a:t> </a:t>
          </a:r>
          <a:r>
            <a:rPr lang="pt-BR" sz="1100">
              <a:solidFill>
                <a:srgbClr val="8A4D55"/>
              </a:solidFill>
              <a:latin typeface="Arial Black" panose="020B0A04020102020204" pitchFamily="34" charset="0"/>
              <a:ea typeface="+mn-ea"/>
              <a:cs typeface="+mn-cs"/>
            </a:rPr>
            <a:t>LÍQUIDO</a:t>
          </a:r>
          <a:r>
            <a:rPr lang="pt-BR" sz="1100">
              <a:solidFill>
                <a:schemeClr val="lt1"/>
              </a:solidFill>
              <a:latin typeface="Arial Black" panose="020B0A04020102020204" pitchFamily="34" charset="0"/>
              <a:ea typeface="+mn-ea"/>
              <a:cs typeface="+mn-cs"/>
            </a:rPr>
            <a:t> </a:t>
          </a:r>
        </a:p>
      </xdr:txBody>
    </xdr:sp>
    <xdr:clientData/>
  </xdr:twoCellAnchor>
  <xdr:twoCellAnchor editAs="absolute">
    <xdr:from>
      <xdr:col>0</xdr:col>
      <xdr:colOff>476250</xdr:colOff>
      <xdr:row>30</xdr:row>
      <xdr:rowOff>150330</xdr:rowOff>
    </xdr:from>
    <xdr:to>
      <xdr:col>1</xdr:col>
      <xdr:colOff>276225</xdr:colOff>
      <xdr:row>32</xdr:row>
      <xdr:rowOff>178905</xdr:rowOff>
    </xdr:to>
    <xdr:pic>
      <xdr:nvPicPr>
        <xdr:cNvPr id="7" name="Imagem 6" descr="Light Pink LinkedIn App Ico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9E643A-4511-4ED4-8BAE-7ABB84139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915026"/>
          <a:ext cx="409575" cy="409575"/>
        </a:xfrm>
        <a:prstGeom prst="rect">
          <a:avLst/>
        </a:prstGeom>
        <a:noFill/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170793</xdr:colOff>
      <xdr:row>30</xdr:row>
      <xdr:rowOff>150330</xdr:rowOff>
    </xdr:from>
    <xdr:to>
      <xdr:col>2</xdr:col>
      <xdr:colOff>582077</xdr:colOff>
      <xdr:row>32</xdr:row>
      <xdr:rowOff>179730</xdr:rowOff>
    </xdr:to>
    <xdr:pic>
      <xdr:nvPicPr>
        <xdr:cNvPr id="8" name="Imagem 7" descr="gmail icon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0A0D16B-C238-4C38-9AE0-86058432F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993" y="5915026"/>
          <a:ext cx="411284" cy="410400"/>
        </a:xfrm>
        <a:prstGeom prst="rect">
          <a:avLst/>
        </a:prstGeom>
        <a:noFill/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589359</xdr:colOff>
      <xdr:row>4</xdr:row>
      <xdr:rowOff>7247</xdr:rowOff>
    </xdr:from>
    <xdr:to>
      <xdr:col>18</xdr:col>
      <xdr:colOff>7327</xdr:colOff>
      <xdr:row>4</xdr:row>
      <xdr:rowOff>7247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FBD9266A-E735-484E-ADE1-ACCF5B020356}"/>
            </a:ext>
          </a:extLst>
        </xdr:cNvPr>
        <xdr:cNvCxnSpPr/>
      </xdr:nvCxnSpPr>
      <xdr:spPr>
        <a:xfrm>
          <a:off x="3637359" y="816872"/>
          <a:ext cx="7342768" cy="0"/>
        </a:xfrm>
        <a:prstGeom prst="line">
          <a:avLst/>
        </a:prstGeom>
        <a:ln w="19050">
          <a:solidFill>
            <a:srgbClr val="8A4D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352425</xdr:colOff>
      <xdr:row>8</xdr:row>
      <xdr:rowOff>9525</xdr:rowOff>
    </xdr:from>
    <xdr:to>
      <xdr:col>15</xdr:col>
      <xdr:colOff>161925</xdr:colOff>
      <xdr:row>14</xdr:row>
      <xdr:rowOff>57150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1" name="DATA">
              <a:extLst>
                <a:ext uri="{FF2B5EF4-FFF2-40B4-BE49-F238E27FC236}">
                  <a16:creationId xmlns:a16="http://schemas.microsoft.com/office/drawing/2014/main" id="{EB438920-4A4A-6A00-5123-0F9D476A55F7}"/>
                </a:ext>
                <a:ext uri="{147F2762-F138-4A5C-976F-8EAC2B608ADB}">
                  <a16:predDERef xmlns:a16="http://schemas.microsoft.com/office/drawing/2014/main" pred="{FBD9266A-E735-484E-ADE1-ACCF5B0203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77875" y="1371600"/>
              <a:ext cx="16383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200025</xdr:colOff>
      <xdr:row>7</xdr:row>
      <xdr:rowOff>180975</xdr:rowOff>
    </xdr:from>
    <xdr:to>
      <xdr:col>18</xdr:col>
      <xdr:colOff>200025</xdr:colOff>
      <xdr:row>15</xdr:row>
      <xdr:rowOff>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10" name="IMPOSTOS">
              <a:extLst>
                <a:ext uri="{FF2B5EF4-FFF2-40B4-BE49-F238E27FC236}">
                  <a16:creationId xmlns:a16="http://schemas.microsoft.com/office/drawing/2014/main" id="{E780E139-C262-CF81-7A75-50BDB586C9F9}"/>
                </a:ext>
                <a:ext uri="{147F2762-F138-4A5C-976F-8EAC2B608ADB}">
                  <a16:predDERef xmlns:a16="http://schemas.microsoft.com/office/drawing/2014/main" pred="{EB438920-4A4A-6A00-5123-0F9D476A55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MPOST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87300" y="1562100"/>
              <a:ext cx="1828800" cy="134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1CB351D8-8455-49C5-81F7-E89067F6ABEC}" sourceName="DATA">
  <extLst>
    <x:ext xmlns:x15="http://schemas.microsoft.com/office/spreadsheetml/2010/11/main" uri="{2F2917AC-EB37-4324-AD4E-5DD8C200BD13}">
      <x15:tableSlicerCache tableId="8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MPOSTOS" xr10:uid="{5D85253E-77BE-48FD-8D0C-1F9E1A4BD89B}" sourceName="IMPOSTOS">
  <extLst>
    <x:ext xmlns:x15="http://schemas.microsoft.com/office/spreadsheetml/2010/11/main" uri="{2F2917AC-EB37-4324-AD4E-5DD8C200BD13}">
      <x15:tableSlicerCache tableId="8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" xr10:uid="{5FE822DE-2B94-4A38-AE30-80FB5FF615D9}" cache="SegmentaçãodeDados_DATA" caption="DATA" style="SlicerStyleLight2" rowHeight="241300"/>
  <slicer name="IMPOSTOS" xr10:uid="{60A588AC-F779-404E-B739-B8CE2DCA0EA3}" cache="SegmentaçãodeDados_IMPOSTOS" caption="IMPOSTOS" style="SlicerStyleLight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CF404B-DC1B-40A8-A656-B244D8DDB1FA}" name="Tabela7" displayName="Tabela7" ref="G8:J55" totalsRowShown="0" headerRowDxfId="9">
  <autoFilter ref="G8:J55" xr:uid="{4FCF404B-DC1B-40A8-A656-B244D8DDB1FA}"/>
  <tableColumns count="4">
    <tableColumn id="1" xr3:uid="{5AF5CDD0-4610-4725-BC8A-C472C7A4F841}" name="DATA" dataDxfId="8"/>
    <tableColumn id="2" xr3:uid="{467D2C37-089B-4AAE-B151-DB51E4F74DAE}" name="CATEGORIA"/>
    <tableColumn id="3" xr3:uid="{4919A665-4022-4AB9-A644-526DBD40E76F}" name="ENTRADA" dataDxfId="7"/>
    <tableColumn id="4" xr3:uid="{361B6765-B738-41C3-B7DE-5E9EC0C6D61E}" name="SAÍDA" dataDxfId="6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BFAA8F-368F-4F37-9BE0-40F851B9E255}" name="Tabela8" displayName="Tabela8" ref="H9:L25" totalsRowShown="0" headerRowDxfId="5">
  <autoFilter ref="H9:L25" xr:uid="{6FBFAA8F-368F-4F37-9BE0-40F851B9E255}"/>
  <tableColumns count="5">
    <tableColumn id="1" xr3:uid="{5A3E08DD-EBD7-4322-BE82-36744439E2CC}" name="DATA" dataDxfId="4">
      <calculatedColumnFormula>PATRIMÔNIOS!G9</calculatedColumnFormula>
    </tableColumn>
    <tableColumn id="2" xr3:uid="{1580BE49-900A-4B93-A38C-0F01A81A91FE}" name="SAÍDAS" dataDxfId="3">
      <calculatedColumnFormula>PATRIMÔNIOS!J9</calculatedColumnFormula>
    </tableColumn>
    <tableColumn id="3" xr3:uid="{F8C642AE-7DB2-4153-8ADB-0DCD29889334}" name="ENTRADAS" dataDxfId="2">
      <calculatedColumnFormula>PATRIMÔNIOS!I9</calculatedColumnFormula>
    </tableColumn>
    <tableColumn id="4" xr3:uid="{B98687B9-B99E-4A5B-B5B9-559E746F784E}" name="MONTANTE LÍQUIDO " dataDxfId="1">
      <calculatedColumnFormula>Tabela8[[#This Row],[ENTRADAS]]-Tabela8[[#This Row],[SAÍDAS]]</calculatedColumnFormula>
    </tableColumn>
    <tableColumn id="5" xr3:uid="{1F30E15B-CDC0-4EA6-BD85-98CA1437958A}" name="IMPOSTOS" dataDxfId="0">
      <calculatedColumnFormula>_xlfn.XLOOKUP(Tabela8[[#This Row],[MONTANTE LÍQUIDO ]],Planilha3!C1:C6,Planilha3!B1:B6,"",-1,1)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1E715A-E9DB-44B2-9B57-509F4B0B4DD5}" name="Tabela9" displayName="Tabela9" ref="B1:C9" totalsRowShown="0">
  <autoFilter ref="B1:C9" xr:uid="{3B1E715A-E9DB-44B2-9B57-509F4B0B4DD5}"/>
  <tableColumns count="2">
    <tableColumn id="1" xr3:uid="{6DED096D-90FF-4741-883D-F068CA3B776A}" name="impostos "/>
    <tableColumn id="2" xr3:uid="{03E08C65-A000-4038-B030-4EB63ECD8BF2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urora.bahianeve@outlot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8722-AE93-4A2A-848F-0C4BFB33FCBD}">
  <sheetPr codeName="Planilha1"/>
  <dimension ref="A4:R20"/>
  <sheetViews>
    <sheetView showGridLines="0" showRowColHeaders="0" zoomScaleNormal="100" workbookViewId="0">
      <selection activeCell="L20" sqref="L20:P20"/>
    </sheetView>
  </sheetViews>
  <sheetFormatPr defaultRowHeight="15" x14ac:dyDescent="0.25"/>
  <cols>
    <col min="1" max="4" width="9.140625" style="21"/>
  </cols>
  <sheetData>
    <row r="4" spans="7:18" ht="18.75" x14ac:dyDescent="0.4">
      <c r="G4" s="22" t="s">
        <v>0</v>
      </c>
      <c r="H4" s="23"/>
      <c r="I4" s="23"/>
    </row>
    <row r="5" spans="7:18" x14ac:dyDescent="0.25">
      <c r="G5" s="24" t="s">
        <v>1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7:18" x14ac:dyDescent="0.25"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8" spans="7:18" x14ac:dyDescent="0.25">
      <c r="G8" s="25" t="s">
        <v>2</v>
      </c>
      <c r="H8" s="25"/>
      <c r="I8" s="25"/>
      <c r="J8" s="25"/>
      <c r="K8" s="25"/>
      <c r="L8" s="13" t="s">
        <v>91</v>
      </c>
      <c r="M8" s="13"/>
      <c r="N8" s="13"/>
      <c r="O8" s="13"/>
      <c r="P8" s="13"/>
    </row>
    <row r="9" spans="7:18" x14ac:dyDescent="0.25">
      <c r="G9" s="27" t="s">
        <v>3</v>
      </c>
      <c r="H9" s="27"/>
      <c r="I9" s="27"/>
      <c r="J9" s="27"/>
      <c r="K9" s="27"/>
      <c r="L9" s="14">
        <v>0</v>
      </c>
      <c r="M9" s="14"/>
      <c r="N9" s="14"/>
      <c r="O9" s="14"/>
      <c r="P9" s="14"/>
    </row>
    <row r="10" spans="7:18" x14ac:dyDescent="0.25">
      <c r="G10" s="27" t="s">
        <v>4</v>
      </c>
      <c r="H10" s="27"/>
      <c r="I10" s="27"/>
      <c r="J10" s="27"/>
      <c r="K10" s="27"/>
      <c r="L10" s="15">
        <v>32907</v>
      </c>
      <c r="M10" s="15"/>
      <c r="N10" s="15"/>
      <c r="O10" s="15"/>
      <c r="P10" s="15"/>
    </row>
    <row r="11" spans="7:18" x14ac:dyDescent="0.25">
      <c r="G11" s="27" t="s">
        <v>5</v>
      </c>
      <c r="H11" s="27"/>
      <c r="I11" s="27"/>
      <c r="J11" s="27"/>
      <c r="K11" s="27"/>
      <c r="L11" s="12">
        <v>0</v>
      </c>
      <c r="M11" s="12"/>
      <c r="N11" s="12"/>
      <c r="O11" s="12"/>
      <c r="P11" s="12"/>
    </row>
    <row r="12" spans="7:18" x14ac:dyDescent="0.25">
      <c r="G12" s="27" t="s">
        <v>6</v>
      </c>
      <c r="H12" s="27"/>
      <c r="I12" s="27"/>
      <c r="J12" s="27"/>
      <c r="K12" s="27"/>
      <c r="L12" s="12" t="s">
        <v>92</v>
      </c>
      <c r="M12" s="12"/>
      <c r="N12" s="12"/>
      <c r="O12" s="12"/>
      <c r="P12" s="12"/>
    </row>
    <row r="13" spans="7:18" x14ac:dyDescent="0.25">
      <c r="G13" s="27" t="s">
        <v>7</v>
      </c>
      <c r="H13" s="27"/>
      <c r="I13" s="27"/>
      <c r="J13" s="27"/>
      <c r="K13" s="27"/>
      <c r="L13" s="17" t="s">
        <v>93</v>
      </c>
      <c r="M13" s="17"/>
      <c r="N13" s="17"/>
      <c r="O13" s="17"/>
      <c r="P13" s="17"/>
    </row>
    <row r="14" spans="7:18" x14ac:dyDescent="0.25">
      <c r="G14" s="27" t="s">
        <v>8</v>
      </c>
      <c r="H14" s="27"/>
      <c r="I14" s="27"/>
      <c r="J14" s="27"/>
      <c r="K14" s="27"/>
      <c r="L14" s="16">
        <v>2020202020</v>
      </c>
      <c r="M14" s="16"/>
      <c r="N14" s="16"/>
      <c r="O14" s="16"/>
      <c r="P14" s="16"/>
    </row>
    <row r="15" spans="7:18" x14ac:dyDescent="0.25">
      <c r="G15" s="27" t="s">
        <v>9</v>
      </c>
      <c r="H15" s="27"/>
      <c r="I15" s="27"/>
      <c r="J15" s="27"/>
      <c r="K15" s="27"/>
      <c r="L15" s="18">
        <v>101010100</v>
      </c>
      <c r="M15" s="18"/>
      <c r="N15" s="18"/>
      <c r="O15" s="18"/>
      <c r="P15" s="18"/>
    </row>
    <row r="16" spans="7:18" x14ac:dyDescent="0.25">
      <c r="G16" s="27" t="s">
        <v>10</v>
      </c>
      <c r="H16" s="27"/>
      <c r="I16" s="27"/>
      <c r="J16" s="27"/>
      <c r="K16" s="27"/>
      <c r="L16" s="19">
        <v>10101010</v>
      </c>
      <c r="M16" s="19"/>
      <c r="N16" s="19"/>
      <c r="O16" s="19"/>
      <c r="P16" s="19"/>
    </row>
    <row r="17" spans="7:16" x14ac:dyDescent="0.25">
      <c r="G17" s="26" t="s">
        <v>11</v>
      </c>
      <c r="H17" s="26"/>
      <c r="I17" s="26"/>
      <c r="J17" s="26"/>
      <c r="K17" s="26"/>
      <c r="L17" s="20" t="s">
        <v>94</v>
      </c>
      <c r="M17" s="17"/>
      <c r="N17" s="17"/>
      <c r="O17" s="17"/>
      <c r="P17" s="17"/>
    </row>
    <row r="18" spans="7:16" x14ac:dyDescent="0.25">
      <c r="G18" s="26" t="s">
        <v>12</v>
      </c>
      <c r="H18" s="26"/>
      <c r="I18" s="26"/>
      <c r="J18" s="26"/>
      <c r="K18" s="26"/>
      <c r="L18" s="12" t="s">
        <v>95</v>
      </c>
      <c r="M18" s="12"/>
      <c r="N18" s="12"/>
      <c r="O18" s="12"/>
      <c r="P18" s="12"/>
    </row>
    <row r="19" spans="7:16" x14ac:dyDescent="0.25">
      <c r="G19" s="25" t="s">
        <v>13</v>
      </c>
      <c r="H19" s="25"/>
      <c r="I19" s="25"/>
      <c r="J19" s="25"/>
      <c r="K19" s="25"/>
      <c r="L19" s="13" t="s">
        <v>96</v>
      </c>
      <c r="M19" s="13"/>
      <c r="N19" s="13"/>
      <c r="O19" s="13"/>
      <c r="P19" s="13"/>
    </row>
    <row r="20" spans="7:16" x14ac:dyDescent="0.25">
      <c r="G20" s="26" t="s">
        <v>14</v>
      </c>
      <c r="H20" s="26"/>
      <c r="I20" s="26"/>
      <c r="J20" s="26"/>
      <c r="K20" s="26"/>
      <c r="L20" s="12" t="s">
        <v>95</v>
      </c>
      <c r="M20" s="12"/>
      <c r="N20" s="12"/>
      <c r="O20" s="12"/>
      <c r="P20" s="12"/>
    </row>
  </sheetData>
  <sheetProtection sheet="1" objects="1" scenarios="1" formatCells="0" selectLockedCells="1"/>
  <mergeCells count="29">
    <mergeCell ref="A1:D1048576"/>
    <mergeCell ref="G4:I4"/>
    <mergeCell ref="G5:R6"/>
    <mergeCell ref="G8:K8"/>
    <mergeCell ref="G20:K20"/>
    <mergeCell ref="G16:K16"/>
    <mergeCell ref="G15:K15"/>
    <mergeCell ref="G17:K17"/>
    <mergeCell ref="G19:K19"/>
    <mergeCell ref="G18:K18"/>
    <mergeCell ref="G14:K14"/>
    <mergeCell ref="G13:K13"/>
    <mergeCell ref="G12:K12"/>
    <mergeCell ref="G11:K11"/>
    <mergeCell ref="G10:K10"/>
    <mergeCell ref="G9:K9"/>
    <mergeCell ref="L20:P20"/>
    <mergeCell ref="L8:P8"/>
    <mergeCell ref="L9:P9"/>
    <mergeCell ref="L10:P10"/>
    <mergeCell ref="L11:P11"/>
    <mergeCell ref="L12:P12"/>
    <mergeCell ref="L14:P14"/>
    <mergeCell ref="L13:P13"/>
    <mergeCell ref="L15:P15"/>
    <mergeCell ref="L16:P16"/>
    <mergeCell ref="L17:P17"/>
    <mergeCell ref="L18:P18"/>
    <mergeCell ref="L19:P19"/>
  </mergeCells>
  <dataValidations count="3">
    <dataValidation type="list" allowBlank="1" showInputMessage="1" showErrorMessage="1" sqref="L18:P18 L20:P20" xr:uid="{7AA104B3-6789-4BC1-B018-AD7F8667F5E8}">
      <formula1>"SIM, NÃO"</formula1>
    </dataValidation>
    <dataValidation type="list" allowBlank="1" showInputMessage="1" showErrorMessage="1" sqref="L19:P19" xr:uid="{7B4EA946-8053-472D-B579-82BC418DAD23}">
      <formula1>"SIM , NÃO"</formula1>
    </dataValidation>
    <dataValidation type="list" allowBlank="1" showInputMessage="1" showErrorMessage="1" sqref="L12:P12" xr:uid="{972A1CC4-EE58-4283-AFC1-514AD23FF5A3}">
      <formula1>"SIM,NÃO"</formula1>
    </dataValidation>
  </dataValidations>
  <hyperlinks>
    <hyperlink ref="L17" r:id="rId1" xr:uid="{A69A4495-5424-4205-B19A-BE962DDB75F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DD28-2582-4535-A41E-64F969318AC9}">
  <sheetPr codeName="Planilha2"/>
  <dimension ref="A4:R27"/>
  <sheetViews>
    <sheetView zoomScaleNormal="100" workbookViewId="0">
      <selection activeCell="L25" sqref="L25:P25"/>
    </sheetView>
  </sheetViews>
  <sheetFormatPr defaultRowHeight="15" x14ac:dyDescent="0.25"/>
  <cols>
    <col min="1" max="4" width="9.140625" style="21"/>
  </cols>
  <sheetData>
    <row r="4" spans="7:18" ht="18.75" x14ac:dyDescent="0.4">
      <c r="G4" s="1" t="s">
        <v>15</v>
      </c>
    </row>
    <row r="5" spans="7:18" x14ac:dyDescent="0.25">
      <c r="G5" s="30" t="s">
        <v>16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7:18" x14ac:dyDescent="0.25"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7:18" x14ac:dyDescent="0.25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7:18" x14ac:dyDescent="0.25">
      <c r="G8" s="3" t="s">
        <v>17</v>
      </c>
      <c r="I8" s="31">
        <f>L12+L17+L26</f>
        <v>518000</v>
      </c>
      <c r="J8" s="31"/>
      <c r="K8" s="31"/>
      <c r="L8" s="31"/>
      <c r="M8" s="31"/>
      <c r="N8" s="31"/>
      <c r="O8" s="31"/>
      <c r="P8" s="31"/>
      <c r="Q8" s="31"/>
      <c r="R8" s="31"/>
    </row>
    <row r="9" spans="7:18" x14ac:dyDescent="0.25">
      <c r="G9" s="2"/>
    </row>
    <row r="10" spans="7:18" x14ac:dyDescent="0.25">
      <c r="G10" s="4" t="s">
        <v>18</v>
      </c>
    </row>
    <row r="11" spans="7:18" x14ac:dyDescent="0.25">
      <c r="G11" s="25" t="s">
        <v>19</v>
      </c>
      <c r="H11" s="25"/>
      <c r="I11" s="25"/>
      <c r="J11" s="25"/>
      <c r="K11" s="25"/>
      <c r="L11" s="13" t="s">
        <v>26</v>
      </c>
      <c r="M11" s="13"/>
      <c r="N11" s="13"/>
      <c r="O11" s="13"/>
      <c r="P11" s="13"/>
    </row>
    <row r="12" spans="7:18" x14ac:dyDescent="0.25">
      <c r="G12" s="27" t="s">
        <v>20</v>
      </c>
      <c r="H12" s="27"/>
      <c r="I12" s="27"/>
      <c r="J12" s="27"/>
      <c r="K12" s="27"/>
      <c r="L12" s="29">
        <v>20000</v>
      </c>
      <c r="M12" s="29"/>
      <c r="N12" s="29"/>
      <c r="O12" s="29"/>
      <c r="P12" s="29"/>
    </row>
    <row r="13" spans="7:18" x14ac:dyDescent="0.25">
      <c r="G13" s="27" t="s">
        <v>21</v>
      </c>
      <c r="H13" s="27"/>
      <c r="I13" s="27"/>
      <c r="J13" s="27"/>
      <c r="K13" s="27"/>
      <c r="L13" s="15"/>
      <c r="M13" s="15"/>
      <c r="N13" s="15"/>
      <c r="O13" s="15"/>
      <c r="P13" s="15"/>
    </row>
    <row r="15" spans="7:18" x14ac:dyDescent="0.25">
      <c r="G15" s="4" t="s">
        <v>22</v>
      </c>
    </row>
    <row r="16" spans="7:18" x14ac:dyDescent="0.25">
      <c r="G16" s="25" t="s">
        <v>19</v>
      </c>
      <c r="H16" s="25"/>
      <c r="I16" s="25"/>
      <c r="J16" s="25"/>
      <c r="K16" s="25"/>
      <c r="L16" s="13" t="s">
        <v>31</v>
      </c>
      <c r="M16" s="13"/>
      <c r="N16" s="13"/>
      <c r="O16" s="13"/>
      <c r="P16" s="13"/>
    </row>
    <row r="17" spans="7:16" x14ac:dyDescent="0.25">
      <c r="G17" s="27" t="s">
        <v>20</v>
      </c>
      <c r="H17" s="27"/>
      <c r="I17" s="27"/>
      <c r="J17" s="27"/>
      <c r="K17" s="27"/>
      <c r="L17" s="28">
        <v>-2000</v>
      </c>
      <c r="M17" s="28"/>
      <c r="N17" s="28"/>
      <c r="O17" s="28"/>
      <c r="P17" s="28"/>
    </row>
    <row r="18" spans="7:16" x14ac:dyDescent="0.25">
      <c r="G18" s="27" t="s">
        <v>21</v>
      </c>
      <c r="H18" s="27"/>
      <c r="I18" s="27"/>
      <c r="J18" s="27"/>
      <c r="K18" s="27"/>
      <c r="L18" s="15"/>
      <c r="M18" s="15"/>
      <c r="N18" s="15"/>
      <c r="O18" s="15"/>
      <c r="P18" s="15"/>
    </row>
    <row r="23" spans="7:16" x14ac:dyDescent="0.25">
      <c r="G23" s="4" t="s">
        <v>23</v>
      </c>
    </row>
    <row r="25" spans="7:16" x14ac:dyDescent="0.25">
      <c r="G25" s="25" t="s">
        <v>19</v>
      </c>
      <c r="H25" s="25"/>
      <c r="I25" s="25"/>
      <c r="J25" s="25"/>
      <c r="K25" s="25"/>
      <c r="L25" s="13" t="s">
        <v>28</v>
      </c>
      <c r="M25" s="13"/>
      <c r="N25" s="13"/>
      <c r="O25" s="13"/>
      <c r="P25" s="13"/>
    </row>
    <row r="26" spans="7:16" x14ac:dyDescent="0.25">
      <c r="G26" s="27" t="s">
        <v>20</v>
      </c>
      <c r="H26" s="27"/>
      <c r="I26" s="27"/>
      <c r="J26" s="27"/>
      <c r="K26" s="27"/>
      <c r="L26" s="28">
        <v>500000</v>
      </c>
      <c r="M26" s="28"/>
      <c r="N26" s="28"/>
      <c r="O26" s="28"/>
      <c r="P26" s="28"/>
    </row>
    <row r="27" spans="7:16" x14ac:dyDescent="0.25">
      <c r="G27" s="27" t="s">
        <v>21</v>
      </c>
      <c r="H27" s="27"/>
      <c r="I27" s="27"/>
      <c r="J27" s="27"/>
      <c r="K27" s="27"/>
      <c r="L27" s="15"/>
      <c r="M27" s="15"/>
      <c r="N27" s="15"/>
      <c r="O27" s="15"/>
      <c r="P27" s="15"/>
    </row>
  </sheetData>
  <sheetProtection sheet="1" objects="1" scenarios="1" selectLockedCells="1"/>
  <mergeCells count="21">
    <mergeCell ref="A1:D1048576"/>
    <mergeCell ref="G11:K11"/>
    <mergeCell ref="L11:P11"/>
    <mergeCell ref="G12:K12"/>
    <mergeCell ref="L12:P12"/>
    <mergeCell ref="G13:K13"/>
    <mergeCell ref="L13:P13"/>
    <mergeCell ref="G5:R6"/>
    <mergeCell ref="I8:R8"/>
    <mergeCell ref="G16:K16"/>
    <mergeCell ref="L16:P16"/>
    <mergeCell ref="G17:K17"/>
    <mergeCell ref="L17:P17"/>
    <mergeCell ref="G27:K27"/>
    <mergeCell ref="L27:P27"/>
    <mergeCell ref="G18:K18"/>
    <mergeCell ref="L18:P18"/>
    <mergeCell ref="G25:K25"/>
    <mergeCell ref="L25:P25"/>
    <mergeCell ref="G26:K26"/>
    <mergeCell ref="L26:P2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AB7E32-4B5A-491F-AD64-09CBF1E8721F}">
          <x14:formula1>
            <xm:f>Planilha7!$A$2:$A$51</xm:f>
          </x14:formula1>
          <xm:sqref>L11:P11 L16:P16 L25:P25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0B1A-ED8C-459B-B867-CF39A4A42694}">
  <sheetPr codeName="Planilha3"/>
  <dimension ref="A1:A51"/>
  <sheetViews>
    <sheetView topLeftCell="A16" workbookViewId="0">
      <selection sqref="A1:A51"/>
    </sheetView>
  </sheetViews>
  <sheetFormatPr defaultRowHeight="15" x14ac:dyDescent="0.25"/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  <row r="26" spans="1:1" x14ac:dyDescent="0.25">
      <c r="A26" t="s">
        <v>49</v>
      </c>
    </row>
    <row r="27" spans="1:1" x14ac:dyDescent="0.25">
      <c r="A27" t="s">
        <v>50</v>
      </c>
    </row>
    <row r="28" spans="1:1" x14ac:dyDescent="0.25">
      <c r="A28" t="s">
        <v>51</v>
      </c>
    </row>
    <row r="29" spans="1:1" x14ac:dyDescent="0.25">
      <c r="A29" t="s">
        <v>52</v>
      </c>
    </row>
    <row r="30" spans="1:1" x14ac:dyDescent="0.25">
      <c r="A30" t="s">
        <v>53</v>
      </c>
    </row>
    <row r="31" spans="1:1" x14ac:dyDescent="0.25">
      <c r="A31" t="s">
        <v>54</v>
      </c>
    </row>
    <row r="32" spans="1:1" x14ac:dyDescent="0.25">
      <c r="A32" t="s">
        <v>55</v>
      </c>
    </row>
    <row r="33" spans="1:1" x14ac:dyDescent="0.25">
      <c r="A33" t="s">
        <v>56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59</v>
      </c>
    </row>
    <row r="37" spans="1:1" x14ac:dyDescent="0.25">
      <c r="A37" t="s">
        <v>60</v>
      </c>
    </row>
    <row r="38" spans="1:1" x14ac:dyDescent="0.25">
      <c r="A38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CA0A-7E19-4C9B-BAD3-9C0E65DB4858}">
  <sheetPr codeName="Planilha4"/>
  <dimension ref="A4:M55"/>
  <sheetViews>
    <sheetView showGridLines="0" showRowColHeaders="0" tabSelected="1" zoomScaleNormal="100" workbookViewId="0">
      <selection activeCell="H9" sqref="H9"/>
    </sheetView>
  </sheetViews>
  <sheetFormatPr defaultRowHeight="15" x14ac:dyDescent="0.25"/>
  <cols>
    <col min="1" max="4" width="9.140625" style="21"/>
    <col min="7" max="7" width="16.28515625" customWidth="1"/>
    <col min="8" max="8" width="24.42578125" customWidth="1"/>
    <col min="9" max="9" width="17.140625" customWidth="1"/>
    <col min="10" max="10" width="14.140625" customWidth="1"/>
    <col min="11" max="11" width="16.28515625" customWidth="1"/>
    <col min="12" max="12" width="24.42578125" customWidth="1"/>
    <col min="13" max="13" width="17.140625" customWidth="1"/>
  </cols>
  <sheetData>
    <row r="4" spans="7:13" ht="18.75" x14ac:dyDescent="0.4">
      <c r="G4" s="22" t="s">
        <v>75</v>
      </c>
      <c r="H4" s="22"/>
      <c r="I4" s="22"/>
      <c r="J4" s="22"/>
    </row>
    <row r="5" spans="7:13" x14ac:dyDescent="0.25">
      <c r="G5" s="32" t="s">
        <v>76</v>
      </c>
      <c r="H5" s="33"/>
      <c r="I5" s="33"/>
      <c r="J5" s="33"/>
      <c r="K5" s="33"/>
      <c r="L5" s="33"/>
      <c r="M5" s="33"/>
    </row>
    <row r="6" spans="7:13" x14ac:dyDescent="0.25">
      <c r="G6" s="33"/>
      <c r="H6" s="33"/>
      <c r="I6" s="33"/>
      <c r="J6" s="33"/>
      <c r="K6" s="33"/>
      <c r="L6" s="33"/>
      <c r="M6" s="33"/>
    </row>
    <row r="8" spans="7:13" x14ac:dyDescent="0.25">
      <c r="G8" s="5" t="s">
        <v>77</v>
      </c>
      <c r="H8" s="5" t="s">
        <v>78</v>
      </c>
      <c r="I8" s="5" t="s">
        <v>79</v>
      </c>
      <c r="J8" s="5" t="s">
        <v>80</v>
      </c>
    </row>
    <row r="9" spans="7:13" x14ac:dyDescent="0.25">
      <c r="G9" s="6">
        <v>45718</v>
      </c>
      <c r="H9" t="s">
        <v>99</v>
      </c>
      <c r="I9" s="7">
        <v>20000</v>
      </c>
      <c r="J9" s="7">
        <v>5</v>
      </c>
    </row>
    <row r="10" spans="7:13" x14ac:dyDescent="0.25">
      <c r="G10" s="6">
        <v>45718</v>
      </c>
      <c r="H10" t="s">
        <v>98</v>
      </c>
      <c r="I10" s="7">
        <v>10</v>
      </c>
      <c r="J10" s="7">
        <v>20</v>
      </c>
    </row>
    <row r="11" spans="7:13" x14ac:dyDescent="0.25">
      <c r="G11" s="6">
        <v>46001</v>
      </c>
      <c r="H11" t="s">
        <v>97</v>
      </c>
      <c r="I11" s="7">
        <v>2000</v>
      </c>
      <c r="J11" s="7">
        <v>1</v>
      </c>
    </row>
    <row r="12" spans="7:13" x14ac:dyDescent="0.25">
      <c r="G12" s="6"/>
      <c r="I12" s="7"/>
      <c r="J12" s="7"/>
    </row>
    <row r="13" spans="7:13" x14ac:dyDescent="0.25">
      <c r="G13" s="6"/>
      <c r="I13" s="7"/>
      <c r="J13" s="7"/>
    </row>
    <row r="14" spans="7:13" x14ac:dyDescent="0.25">
      <c r="G14" s="6"/>
      <c r="I14" s="7"/>
      <c r="J14" s="7"/>
    </row>
    <row r="15" spans="7:13" x14ac:dyDescent="0.25">
      <c r="G15" s="6"/>
      <c r="I15" s="7"/>
      <c r="J15" s="7"/>
    </row>
    <row r="16" spans="7:13" x14ac:dyDescent="0.25">
      <c r="G16" s="6"/>
      <c r="I16" s="7"/>
      <c r="J16" s="7"/>
    </row>
    <row r="17" spans="7:10" x14ac:dyDescent="0.25">
      <c r="G17" s="6"/>
      <c r="I17" s="7"/>
      <c r="J17" s="7"/>
    </row>
    <row r="18" spans="7:10" x14ac:dyDescent="0.25">
      <c r="G18" s="6"/>
      <c r="I18" s="7"/>
      <c r="J18" s="7"/>
    </row>
    <row r="19" spans="7:10" x14ac:dyDescent="0.25">
      <c r="G19" s="6"/>
      <c r="I19" s="7"/>
      <c r="J19" s="7"/>
    </row>
    <row r="20" spans="7:10" x14ac:dyDescent="0.25">
      <c r="G20" s="6"/>
      <c r="I20" s="7"/>
      <c r="J20" s="7"/>
    </row>
    <row r="21" spans="7:10" x14ac:dyDescent="0.25">
      <c r="G21" s="6"/>
      <c r="I21" s="7"/>
      <c r="J21" s="7"/>
    </row>
    <row r="22" spans="7:10" x14ac:dyDescent="0.25">
      <c r="G22" s="6"/>
      <c r="I22" s="7"/>
      <c r="J22" s="7"/>
    </row>
    <row r="23" spans="7:10" x14ac:dyDescent="0.25">
      <c r="G23" s="6"/>
      <c r="I23" s="7"/>
      <c r="J23" s="7"/>
    </row>
    <row r="24" spans="7:10" x14ac:dyDescent="0.25">
      <c r="G24" s="6"/>
      <c r="I24" s="7"/>
      <c r="J24" s="7"/>
    </row>
    <row r="25" spans="7:10" x14ac:dyDescent="0.25">
      <c r="G25" s="6"/>
      <c r="I25" s="7"/>
      <c r="J25" s="7"/>
    </row>
    <row r="26" spans="7:10" x14ac:dyDescent="0.25">
      <c r="G26" s="6"/>
      <c r="I26" s="7"/>
      <c r="J26" s="7"/>
    </row>
    <row r="27" spans="7:10" x14ac:dyDescent="0.25">
      <c r="G27" s="6"/>
      <c r="I27" s="7"/>
      <c r="J27" s="7"/>
    </row>
    <row r="28" spans="7:10" x14ac:dyDescent="0.25">
      <c r="G28" s="6"/>
      <c r="I28" s="7"/>
      <c r="J28" s="7"/>
    </row>
    <row r="29" spans="7:10" x14ac:dyDescent="0.25">
      <c r="G29" s="6"/>
      <c r="I29" s="7"/>
      <c r="J29" s="7"/>
    </row>
    <row r="30" spans="7:10" x14ac:dyDescent="0.25">
      <c r="G30" s="6"/>
      <c r="I30" s="7"/>
      <c r="J30" s="7"/>
    </row>
    <row r="31" spans="7:10" x14ac:dyDescent="0.25">
      <c r="G31" s="6"/>
      <c r="I31" s="7"/>
      <c r="J31" s="7"/>
    </row>
    <row r="32" spans="7:10" x14ac:dyDescent="0.25">
      <c r="G32" s="6"/>
      <c r="I32" s="7"/>
      <c r="J32" s="7"/>
    </row>
    <row r="33" spans="7:10" x14ac:dyDescent="0.25">
      <c r="G33" s="6"/>
      <c r="I33" s="7"/>
      <c r="J33" s="7"/>
    </row>
    <row r="34" spans="7:10" x14ac:dyDescent="0.25">
      <c r="G34" s="6"/>
      <c r="I34" s="7"/>
      <c r="J34" s="7"/>
    </row>
    <row r="35" spans="7:10" x14ac:dyDescent="0.25">
      <c r="G35" s="6"/>
      <c r="I35" s="7"/>
      <c r="J35" s="7"/>
    </row>
    <row r="36" spans="7:10" x14ac:dyDescent="0.25">
      <c r="G36" s="6"/>
      <c r="I36" s="7"/>
      <c r="J36" s="7"/>
    </row>
    <row r="37" spans="7:10" x14ac:dyDescent="0.25">
      <c r="G37" s="6"/>
      <c r="I37" s="7"/>
      <c r="J37" s="7"/>
    </row>
    <row r="38" spans="7:10" x14ac:dyDescent="0.25">
      <c r="G38" s="6"/>
      <c r="I38" s="7"/>
      <c r="J38" s="7"/>
    </row>
    <row r="39" spans="7:10" x14ac:dyDescent="0.25">
      <c r="G39" s="6"/>
      <c r="I39" s="7"/>
      <c r="J39" s="7"/>
    </row>
    <row r="40" spans="7:10" x14ac:dyDescent="0.25">
      <c r="G40" s="6"/>
      <c r="I40" s="7"/>
      <c r="J40" s="7"/>
    </row>
    <row r="41" spans="7:10" x14ac:dyDescent="0.25">
      <c r="G41" s="6"/>
      <c r="I41" s="7"/>
      <c r="J41" s="7"/>
    </row>
    <row r="42" spans="7:10" x14ac:dyDescent="0.25">
      <c r="G42" s="6"/>
      <c r="I42" s="7"/>
      <c r="J42" s="7"/>
    </row>
    <row r="43" spans="7:10" x14ac:dyDescent="0.25">
      <c r="G43" s="6"/>
      <c r="I43" s="7"/>
      <c r="J43" s="7"/>
    </row>
    <row r="44" spans="7:10" x14ac:dyDescent="0.25">
      <c r="G44" s="6"/>
      <c r="I44" s="7"/>
      <c r="J44" s="7"/>
    </row>
    <row r="45" spans="7:10" x14ac:dyDescent="0.25">
      <c r="G45" s="6"/>
      <c r="I45" s="7"/>
      <c r="J45" s="7"/>
    </row>
    <row r="46" spans="7:10" x14ac:dyDescent="0.25">
      <c r="G46" s="6"/>
      <c r="I46" s="7"/>
      <c r="J46" s="7"/>
    </row>
    <row r="47" spans="7:10" x14ac:dyDescent="0.25">
      <c r="G47" s="6"/>
      <c r="I47" s="7"/>
      <c r="J47" s="7"/>
    </row>
    <row r="48" spans="7:10" x14ac:dyDescent="0.25">
      <c r="G48" s="6"/>
      <c r="I48" s="7"/>
      <c r="J48" s="7"/>
    </row>
    <row r="49" spans="7:10" x14ac:dyDescent="0.25">
      <c r="G49" s="6"/>
      <c r="I49" s="7"/>
      <c r="J49" s="7"/>
    </row>
    <row r="50" spans="7:10" x14ac:dyDescent="0.25">
      <c r="G50" s="6"/>
      <c r="I50" s="7"/>
      <c r="J50" s="7"/>
    </row>
    <row r="51" spans="7:10" x14ac:dyDescent="0.25">
      <c r="G51" s="6"/>
      <c r="I51" s="7"/>
      <c r="J51" s="7"/>
    </row>
    <row r="52" spans="7:10" x14ac:dyDescent="0.25">
      <c r="G52" s="6"/>
      <c r="I52" s="7"/>
      <c r="J52" s="7"/>
    </row>
    <row r="53" spans="7:10" x14ac:dyDescent="0.25">
      <c r="G53" s="6"/>
      <c r="I53" s="7"/>
      <c r="J53" s="7"/>
    </row>
    <row r="54" spans="7:10" x14ac:dyDescent="0.25">
      <c r="G54" s="6"/>
      <c r="I54" s="7"/>
      <c r="J54" s="7"/>
    </row>
    <row r="55" spans="7:10" x14ac:dyDescent="0.25">
      <c r="G55" s="6"/>
      <c r="I55" s="7"/>
      <c r="J55" s="7"/>
    </row>
  </sheetData>
  <sheetProtection sheet="1" objects="1" scenarios="1" selectLockedCells="1"/>
  <mergeCells count="3">
    <mergeCell ref="G5:M6"/>
    <mergeCell ref="G4:J4"/>
    <mergeCell ref="A1:D1048576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D6E2-1F30-4427-920B-B006643E19ED}">
  <sheetPr codeName="Planilha5"/>
  <dimension ref="A4:R25"/>
  <sheetViews>
    <sheetView zoomScaleNormal="100" workbookViewId="0">
      <selection activeCell="F31" sqref="F31"/>
    </sheetView>
  </sheetViews>
  <sheetFormatPr defaultRowHeight="15" x14ac:dyDescent="0.25"/>
  <cols>
    <col min="1" max="4" width="9.140625" style="21"/>
    <col min="7" max="7" width="13.7109375" customWidth="1"/>
    <col min="8" max="8" width="17" bestFit="1" customWidth="1"/>
    <col min="9" max="10" width="19.5703125" bestFit="1" customWidth="1"/>
    <col min="11" max="11" width="22.42578125" bestFit="1" customWidth="1"/>
    <col min="12" max="12" width="12.7109375" bestFit="1" customWidth="1"/>
  </cols>
  <sheetData>
    <row r="4" spans="7:18" ht="18.75" x14ac:dyDescent="0.4">
      <c r="G4" s="1" t="s">
        <v>81</v>
      </c>
    </row>
    <row r="5" spans="7:18" x14ac:dyDescent="0.25">
      <c r="G5" s="34" t="s">
        <v>82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7:18" x14ac:dyDescent="0.25"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</row>
    <row r="9" spans="7:18" x14ac:dyDescent="0.25">
      <c r="H9" s="11" t="s">
        <v>77</v>
      </c>
      <c r="I9" s="11" t="s">
        <v>83</v>
      </c>
      <c r="J9" s="11" t="s">
        <v>84</v>
      </c>
      <c r="K9" s="11" t="s">
        <v>85</v>
      </c>
      <c r="L9" s="11" t="s">
        <v>86</v>
      </c>
    </row>
    <row r="10" spans="7:18" x14ac:dyDescent="0.25">
      <c r="H10" s="8">
        <f>PATRIMÔNIOS!G9</f>
        <v>45718</v>
      </c>
      <c r="I10" s="7">
        <f>PATRIMÔNIOS!J9</f>
        <v>5</v>
      </c>
      <c r="J10" s="7">
        <f>PATRIMÔNIOS!I9</f>
        <v>20000</v>
      </c>
      <c r="K10" s="7">
        <f>Tabela8[[#This Row],[ENTRADAS]]-Tabela8[[#This Row],[SAÍDAS]]</f>
        <v>19995</v>
      </c>
      <c r="L10" s="10">
        <f>_xlfn.XLOOKUP(Tabela8[[#This Row],[MONTANTE LÍQUIDO ]],Planilha3!C1:C6,Planilha3!B1:B6,"",-1,1)</f>
        <v>0.1</v>
      </c>
    </row>
    <row r="11" spans="7:18" x14ac:dyDescent="0.25">
      <c r="H11" s="8">
        <f>PATRIMÔNIOS!G10</f>
        <v>45718</v>
      </c>
      <c r="I11" s="7">
        <f>PATRIMÔNIOS!J10</f>
        <v>20</v>
      </c>
      <c r="J11" s="7">
        <f>PATRIMÔNIOS!I10</f>
        <v>10</v>
      </c>
      <c r="K11" s="7">
        <f>Tabela8[[#This Row],[ENTRADAS]]-Tabela8[[#This Row],[SAÍDAS]]</f>
        <v>-10</v>
      </c>
      <c r="L11" s="10" t="str">
        <f>_xlfn.XLOOKUP(Tabela8[[#This Row],[MONTANTE LÍQUIDO ]],Planilha3!C2:C7,Planilha3!B2:B7,"",-1,1)</f>
        <v>Negativo</v>
      </c>
    </row>
    <row r="12" spans="7:18" x14ac:dyDescent="0.25">
      <c r="H12" s="8">
        <f>PATRIMÔNIOS!G11</f>
        <v>46001</v>
      </c>
      <c r="I12" s="7">
        <f>PATRIMÔNIOS!J11</f>
        <v>1</v>
      </c>
      <c r="J12" s="7">
        <f>PATRIMÔNIOS!I11</f>
        <v>2000</v>
      </c>
      <c r="K12" s="7">
        <f>Tabela8[[#This Row],[ENTRADAS]]-Tabela8[[#This Row],[SAÍDAS]]</f>
        <v>1999</v>
      </c>
      <c r="L12" s="10" t="str">
        <f>_xlfn.XLOOKUP(Tabela8[[#This Row],[MONTANTE LÍQUIDO ]],Planilha3!C3:C8,Planilha3!B3:B8,"",-1,1)</f>
        <v>Isento</v>
      </c>
    </row>
    <row r="13" spans="7:18" x14ac:dyDescent="0.25">
      <c r="H13" s="8">
        <f>PATRIMÔNIOS!G12</f>
        <v>0</v>
      </c>
      <c r="I13" s="7">
        <f>PATRIMÔNIOS!J12</f>
        <v>0</v>
      </c>
      <c r="J13" s="7">
        <f>PATRIMÔNIOS!I12</f>
        <v>0</v>
      </c>
      <c r="K13" s="7">
        <f>Tabela8[[#This Row],[ENTRADAS]]-Tabela8[[#This Row],[SAÍDAS]]</f>
        <v>0</v>
      </c>
      <c r="L13" s="10" t="str">
        <f>_xlfn.XLOOKUP(Tabela8[[#This Row],[MONTANTE LÍQUIDO ]],Planilha3!C4:C9,Planilha3!B4:B9,"",-1,1)</f>
        <v/>
      </c>
    </row>
    <row r="14" spans="7:18" x14ac:dyDescent="0.25">
      <c r="H14" s="8">
        <f>PATRIMÔNIOS!G13</f>
        <v>0</v>
      </c>
      <c r="I14" s="7">
        <f>PATRIMÔNIOS!J13</f>
        <v>0</v>
      </c>
      <c r="J14" s="7">
        <f>PATRIMÔNIOS!I13</f>
        <v>0</v>
      </c>
      <c r="K14" s="7">
        <f>Tabela8[[#This Row],[ENTRADAS]]-Tabela8[[#This Row],[SAÍDAS]]</f>
        <v>0</v>
      </c>
      <c r="L14" s="10" t="str">
        <f>_xlfn.XLOOKUP(Tabela8[[#This Row],[MONTANTE LÍQUIDO ]],Planilha3!C5:C10,Planilha3!B5:B10,"",-1,1)</f>
        <v/>
      </c>
    </row>
    <row r="15" spans="7:18" x14ac:dyDescent="0.25">
      <c r="H15" s="8">
        <f>PATRIMÔNIOS!G14</f>
        <v>0</v>
      </c>
      <c r="I15" s="7">
        <f>PATRIMÔNIOS!J14</f>
        <v>0</v>
      </c>
      <c r="J15" s="7">
        <f>PATRIMÔNIOS!I14</f>
        <v>0</v>
      </c>
      <c r="K15" s="7">
        <f>Tabela8[[#This Row],[ENTRADAS]]-Tabela8[[#This Row],[SAÍDAS]]</f>
        <v>0</v>
      </c>
      <c r="L15" s="10" t="str">
        <f>_xlfn.XLOOKUP(Tabela8[[#This Row],[MONTANTE LÍQUIDO ]],Planilha3!C6:C11,Planilha3!B6:B11,"",-1,1)</f>
        <v/>
      </c>
    </row>
    <row r="16" spans="7:18" x14ac:dyDescent="0.25">
      <c r="H16" s="8">
        <f>PATRIMÔNIOS!G15</f>
        <v>0</v>
      </c>
      <c r="I16" s="7">
        <f>PATRIMÔNIOS!J15</f>
        <v>0</v>
      </c>
      <c r="J16" s="7">
        <f>PATRIMÔNIOS!I15</f>
        <v>0</v>
      </c>
      <c r="K16" s="7">
        <f>Tabela8[[#This Row],[ENTRADAS]]-Tabela8[[#This Row],[SAÍDAS]]</f>
        <v>0</v>
      </c>
      <c r="L16" s="10" t="str">
        <f>_xlfn.XLOOKUP(Tabela8[[#This Row],[MONTANTE LÍQUIDO ]],Planilha3!C7:C12,Planilha3!B7:B12,"",-1,1)</f>
        <v/>
      </c>
    </row>
    <row r="17" spans="8:12" x14ac:dyDescent="0.25">
      <c r="H17" s="8">
        <f>PATRIMÔNIOS!G16</f>
        <v>0</v>
      </c>
      <c r="I17" s="7">
        <f>PATRIMÔNIOS!J16</f>
        <v>0</v>
      </c>
      <c r="J17" s="7">
        <f>PATRIMÔNIOS!I16</f>
        <v>0</v>
      </c>
      <c r="K17" s="7">
        <f>Tabela8[[#This Row],[ENTRADAS]]-Tabela8[[#This Row],[SAÍDAS]]</f>
        <v>0</v>
      </c>
      <c r="L17" s="10" t="str">
        <f>_xlfn.XLOOKUP(Tabela8[[#This Row],[MONTANTE LÍQUIDO ]],Planilha3!C8:C13,Planilha3!B8:B13,"",-1,1)</f>
        <v/>
      </c>
    </row>
    <row r="18" spans="8:12" x14ac:dyDescent="0.25">
      <c r="H18" s="8">
        <f>PATRIMÔNIOS!G17</f>
        <v>0</v>
      </c>
      <c r="I18" s="7">
        <f>PATRIMÔNIOS!J17</f>
        <v>0</v>
      </c>
      <c r="J18" s="7">
        <f>PATRIMÔNIOS!I17</f>
        <v>0</v>
      </c>
      <c r="K18" s="7">
        <f>Tabela8[[#This Row],[ENTRADAS]]-Tabela8[[#This Row],[SAÍDAS]]</f>
        <v>0</v>
      </c>
      <c r="L18" s="10" t="str">
        <f>_xlfn.XLOOKUP(Tabela8[[#This Row],[MONTANTE LÍQUIDO ]],Planilha3!C9:C14,Planilha3!B9:B14,"",-1,1)</f>
        <v/>
      </c>
    </row>
    <row r="19" spans="8:12" x14ac:dyDescent="0.25">
      <c r="H19" s="8">
        <f>PATRIMÔNIOS!G18</f>
        <v>0</v>
      </c>
      <c r="I19" s="7">
        <f>PATRIMÔNIOS!J18</f>
        <v>0</v>
      </c>
      <c r="J19" s="7">
        <f>PATRIMÔNIOS!I18</f>
        <v>0</v>
      </c>
      <c r="K19" s="7">
        <f>Tabela8[[#This Row],[ENTRADAS]]-Tabela8[[#This Row],[SAÍDAS]]</f>
        <v>0</v>
      </c>
      <c r="L19" s="10" t="str">
        <f>_xlfn.XLOOKUP(Tabela8[[#This Row],[MONTANTE LÍQUIDO ]],Planilha3!C10:C15,Planilha3!B10:B15,"",-1,1)</f>
        <v/>
      </c>
    </row>
    <row r="20" spans="8:12" x14ac:dyDescent="0.25">
      <c r="H20" s="8">
        <f>PATRIMÔNIOS!G19</f>
        <v>0</v>
      </c>
      <c r="I20" s="7">
        <f>PATRIMÔNIOS!J19</f>
        <v>0</v>
      </c>
      <c r="J20" s="7">
        <f>PATRIMÔNIOS!I19</f>
        <v>0</v>
      </c>
      <c r="K20" s="7">
        <f>Tabela8[[#This Row],[ENTRADAS]]-Tabela8[[#This Row],[SAÍDAS]]</f>
        <v>0</v>
      </c>
      <c r="L20" s="10" t="str">
        <f>_xlfn.XLOOKUP(Tabela8[[#This Row],[MONTANTE LÍQUIDO ]],Planilha3!C11:C16,Planilha3!B11:B16,"",-1,1)</f>
        <v/>
      </c>
    </row>
    <row r="21" spans="8:12" x14ac:dyDescent="0.25">
      <c r="H21" s="8">
        <f>PATRIMÔNIOS!G20</f>
        <v>0</v>
      </c>
      <c r="I21" s="7">
        <f>PATRIMÔNIOS!J20</f>
        <v>0</v>
      </c>
      <c r="J21" s="7">
        <f>PATRIMÔNIOS!I20</f>
        <v>0</v>
      </c>
      <c r="K21" s="7">
        <f>Tabela8[[#This Row],[ENTRADAS]]-Tabela8[[#This Row],[SAÍDAS]]</f>
        <v>0</v>
      </c>
      <c r="L21" s="10" t="str">
        <f>_xlfn.XLOOKUP(Tabela8[[#This Row],[MONTANTE LÍQUIDO ]],Planilha3!C12:C17,Planilha3!B12:B17,"",-1,1)</f>
        <v/>
      </c>
    </row>
    <row r="22" spans="8:12" x14ac:dyDescent="0.25">
      <c r="H22" s="8">
        <f>PATRIMÔNIOS!G21</f>
        <v>0</v>
      </c>
      <c r="I22" s="7">
        <f>PATRIMÔNIOS!J21</f>
        <v>0</v>
      </c>
      <c r="J22" s="7">
        <f>PATRIMÔNIOS!I21</f>
        <v>0</v>
      </c>
      <c r="K22" s="7">
        <f>Tabela8[[#This Row],[ENTRADAS]]-Tabela8[[#This Row],[SAÍDAS]]</f>
        <v>0</v>
      </c>
      <c r="L22" s="10" t="str">
        <f>_xlfn.XLOOKUP(Tabela8[[#This Row],[MONTANTE LÍQUIDO ]],Planilha3!C13:C18,Planilha3!B13:B18,"",-1,1)</f>
        <v/>
      </c>
    </row>
    <row r="23" spans="8:12" x14ac:dyDescent="0.25">
      <c r="H23" s="8">
        <f>PATRIMÔNIOS!G22</f>
        <v>0</v>
      </c>
      <c r="I23" s="7">
        <f>PATRIMÔNIOS!J22</f>
        <v>0</v>
      </c>
      <c r="J23" s="7">
        <f>PATRIMÔNIOS!I22</f>
        <v>0</v>
      </c>
      <c r="K23" s="7">
        <f>Tabela8[[#This Row],[ENTRADAS]]-Tabela8[[#This Row],[SAÍDAS]]</f>
        <v>0</v>
      </c>
      <c r="L23" s="10" t="str">
        <f>_xlfn.XLOOKUP(Tabela8[[#This Row],[MONTANTE LÍQUIDO ]],Planilha3!C14:C19,Planilha3!B14:B19,"",-1,1)</f>
        <v/>
      </c>
    </row>
    <row r="24" spans="8:12" x14ac:dyDescent="0.25">
      <c r="H24" s="8">
        <f>PATRIMÔNIOS!G23</f>
        <v>0</v>
      </c>
      <c r="I24" s="7">
        <f>PATRIMÔNIOS!J23</f>
        <v>0</v>
      </c>
      <c r="J24" s="7">
        <f>PATRIMÔNIOS!I23</f>
        <v>0</v>
      </c>
      <c r="K24" s="7">
        <f>Tabela8[[#This Row],[ENTRADAS]]-Tabela8[[#This Row],[SAÍDAS]]</f>
        <v>0</v>
      </c>
      <c r="L24" s="10" t="str">
        <f>_xlfn.XLOOKUP(Tabela8[[#This Row],[MONTANTE LÍQUIDO ]],Planilha3!C15:C20,Planilha3!B15:B20,"",-1,1)</f>
        <v/>
      </c>
    </row>
    <row r="25" spans="8:12" x14ac:dyDescent="0.25">
      <c r="H25" s="8">
        <f>PATRIMÔNIOS!G24</f>
        <v>0</v>
      </c>
      <c r="I25" s="7">
        <f>PATRIMÔNIOS!J24</f>
        <v>0</v>
      </c>
      <c r="J25" s="7">
        <f>PATRIMÔNIOS!I24</f>
        <v>0</v>
      </c>
      <c r="K25" s="7">
        <f>Tabela8[[#This Row],[ENTRADAS]]-Tabela8[[#This Row],[SAÍDAS]]</f>
        <v>0</v>
      </c>
      <c r="L25" s="10" t="str">
        <f>_xlfn.XLOOKUP(Tabela8[[#This Row],[MONTANTE LÍQUIDO ]],Planilha3!C16:C21,Planilha3!B16:B21,"",-1,1)</f>
        <v/>
      </c>
    </row>
  </sheetData>
  <sheetProtection sheet="1" objects="1" scenarios="1" selectLockedCells="1"/>
  <mergeCells count="2">
    <mergeCell ref="A1:D1048576"/>
    <mergeCell ref="G5:R6"/>
  </mergeCells>
  <phoneticPr fontId="8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DDF7-15A7-448A-A467-91F7CE85A021}">
  <sheetPr codeName="Planilha6"/>
  <dimension ref="B1:C8"/>
  <sheetViews>
    <sheetView workbookViewId="0">
      <selection activeCell="B4" sqref="B4"/>
    </sheetView>
  </sheetViews>
  <sheetFormatPr defaultRowHeight="15" x14ac:dyDescent="0.25"/>
  <cols>
    <col min="2" max="2" width="10.28515625" customWidth="1"/>
    <col min="3" max="3" width="14.85546875" bestFit="1" customWidth="1"/>
  </cols>
  <sheetData>
    <row r="1" spans="2:3" x14ac:dyDescent="0.25">
      <c r="B1" t="s">
        <v>87</v>
      </c>
      <c r="C1" t="s">
        <v>88</v>
      </c>
    </row>
    <row r="2" spans="2:3" x14ac:dyDescent="0.25">
      <c r="B2" t="s">
        <v>89</v>
      </c>
      <c r="C2" s="7">
        <v>-100000</v>
      </c>
    </row>
    <row r="3" spans="2:3" x14ac:dyDescent="0.25">
      <c r="B3" t="s">
        <v>90</v>
      </c>
      <c r="C3" s="7">
        <v>0</v>
      </c>
    </row>
    <row r="4" spans="2:3" x14ac:dyDescent="0.25">
      <c r="B4" s="9">
        <v>0.05</v>
      </c>
      <c r="C4" s="7">
        <v>5001</v>
      </c>
    </row>
    <row r="5" spans="2:3" x14ac:dyDescent="0.25">
      <c r="B5" s="9">
        <v>0.1</v>
      </c>
      <c r="C5" s="7">
        <v>10000</v>
      </c>
    </row>
    <row r="6" spans="2:3" x14ac:dyDescent="0.25">
      <c r="B6" s="9">
        <v>0.15</v>
      </c>
      <c r="C6" s="7">
        <v>20000</v>
      </c>
    </row>
    <row r="7" spans="2:3" x14ac:dyDescent="0.25">
      <c r="B7" s="9">
        <v>0.2</v>
      </c>
      <c r="C7" s="7">
        <v>30000</v>
      </c>
    </row>
    <row r="8" spans="2:3" x14ac:dyDescent="0.25">
      <c r="C8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TITULAR</vt:lpstr>
      <vt:lpstr>INFORMES</vt:lpstr>
      <vt:lpstr>Planilha7</vt:lpstr>
      <vt:lpstr>PATRIMÔNIOS</vt:lpstr>
      <vt:lpstr>MONTANTE LÍQUIDO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Inacio de Moraes</dc:creator>
  <cp:keywords/>
  <dc:description/>
  <cp:lastModifiedBy>Juliana Inacio de Moraes</cp:lastModifiedBy>
  <cp:revision/>
  <dcterms:created xsi:type="dcterms:W3CDTF">2026-02-06T17:30:12Z</dcterms:created>
  <dcterms:modified xsi:type="dcterms:W3CDTF">2026-02-09T12:43:47Z</dcterms:modified>
  <cp:category/>
  <cp:contentStatus/>
</cp:coreProperties>
</file>